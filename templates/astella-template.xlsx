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ssabox\Downloads\"/>
    </mc:Choice>
  </mc:AlternateContent>
  <xr:revisionPtr revIDLastSave="0" documentId="13_ncr:1_{4FCE4DA4-2C37-4925-9EB8-2DE2F33E773B}" xr6:coauthVersionLast="47" xr6:coauthVersionMax="47" xr10:uidLastSave="{00000000-0000-0000-0000-000000000000}"/>
  <bookViews>
    <workbookView xWindow="-28920" yWindow="6240" windowWidth="19440" windowHeight="11520" xr2:uid="{961A31F8-241B-42ED-A61C-CED7DEE19D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AA51" i="1"/>
  <c r="AA50" i="1"/>
  <c r="V51" i="1"/>
  <c r="V39" i="1"/>
  <c r="V44" i="1" s="1"/>
  <c r="V31" i="1"/>
  <c r="V29" i="1"/>
  <c r="V27" i="1"/>
  <c r="AA19" i="1"/>
  <c r="V20" i="1"/>
  <c r="V12" i="1"/>
  <c r="V13" i="1"/>
  <c r="V14" i="1"/>
  <c r="V15" i="1"/>
  <c r="V16" i="1"/>
  <c r="V17" i="1" s="1"/>
  <c r="V9" i="1"/>
  <c r="V4" i="1"/>
  <c r="P4" i="1"/>
  <c r="U51" i="1"/>
  <c r="P51" i="1"/>
  <c r="Q51" i="1"/>
  <c r="R51" i="1"/>
  <c r="S51" i="1"/>
  <c r="T51" i="1"/>
  <c r="U36" i="1"/>
  <c r="U20" i="1"/>
  <c r="U39" i="1"/>
  <c r="U44" i="1" s="1"/>
  <c r="U45" i="1" s="1"/>
  <c r="V36" i="1" s="1"/>
  <c r="U31" i="1"/>
  <c r="U29" i="1"/>
  <c r="U27" i="1"/>
  <c r="U12" i="1"/>
  <c r="U13" i="1"/>
  <c r="U14" i="1"/>
  <c r="U15" i="1"/>
  <c r="AA15" i="1" s="1"/>
  <c r="U16" i="1"/>
  <c r="U4" i="1"/>
  <c r="U9" i="1" s="1"/>
  <c r="T4" i="1"/>
  <c r="T31" i="1"/>
  <c r="T29" i="1"/>
  <c r="T27" i="1"/>
  <c r="T39" i="1"/>
  <c r="T44" i="1"/>
  <c r="T45" i="1" s="1"/>
  <c r="T36" i="1"/>
  <c r="T20" i="1"/>
  <c r="T9" i="1"/>
  <c r="T12" i="1"/>
  <c r="T13" i="1"/>
  <c r="AA13" i="1" s="1"/>
  <c r="T14" i="1"/>
  <c r="T15" i="1"/>
  <c r="T16" i="1"/>
  <c r="AA14" i="1"/>
  <c r="AA12" i="1"/>
  <c r="AA38" i="1"/>
  <c r="AA37" i="1"/>
  <c r="AA39" i="1" s="1"/>
  <c r="AA36" i="1"/>
  <c r="AA32" i="1"/>
  <c r="AA30" i="1"/>
  <c r="AA28" i="1"/>
  <c r="AA26" i="1"/>
  <c r="AA25" i="1"/>
  <c r="AA24" i="1"/>
  <c r="S31" i="1"/>
  <c r="S29" i="1"/>
  <c r="S27" i="1"/>
  <c r="S44" i="1"/>
  <c r="S45" i="1"/>
  <c r="S39" i="1"/>
  <c r="S36" i="1"/>
  <c r="S20" i="1"/>
  <c r="S12" i="1"/>
  <c r="S13" i="1"/>
  <c r="S14" i="1"/>
  <c r="S15" i="1"/>
  <c r="S16" i="1"/>
  <c r="S17" i="1"/>
  <c r="AA8" i="1"/>
  <c r="R44" i="1"/>
  <c r="R45" i="1"/>
  <c r="R39" i="1"/>
  <c r="Q36" i="1"/>
  <c r="R36" i="1"/>
  <c r="R31" i="1"/>
  <c r="R29" i="1"/>
  <c r="R27" i="1"/>
  <c r="R20" i="1"/>
  <c r="R12" i="1"/>
  <c r="R13" i="1"/>
  <c r="R14" i="1"/>
  <c r="R15" i="1"/>
  <c r="R16" i="1"/>
  <c r="R4" i="1"/>
  <c r="R9" i="1" s="1"/>
  <c r="S4" i="1" s="1"/>
  <c r="S9" i="1" s="1"/>
  <c r="Q45" i="1"/>
  <c r="Q44" i="1"/>
  <c r="Q39" i="1"/>
  <c r="P31" i="1"/>
  <c r="Q31" i="1"/>
  <c r="O31" i="1"/>
  <c r="P29" i="1"/>
  <c r="Q29" i="1"/>
  <c r="Q27" i="1"/>
  <c r="P27" i="1"/>
  <c r="Q20" i="1"/>
  <c r="Q12" i="1"/>
  <c r="Q13" i="1"/>
  <c r="Q14" i="1"/>
  <c r="Q17" i="1" s="1"/>
  <c r="Q15" i="1"/>
  <c r="Q16" i="1"/>
  <c r="Q9" i="1"/>
  <c r="Q4" i="1"/>
  <c r="O9" i="1"/>
  <c r="O4" i="1"/>
  <c r="I46" i="1"/>
  <c r="F46" i="1"/>
  <c r="E46" i="1"/>
  <c r="P36" i="1"/>
  <c r="P45" i="1"/>
  <c r="O45" i="1"/>
  <c r="O44" i="1"/>
  <c r="P39" i="1"/>
  <c r="P44" i="1" s="1"/>
  <c r="O20" i="1"/>
  <c r="P16" i="1"/>
  <c r="P15" i="1"/>
  <c r="P14" i="1"/>
  <c r="P13" i="1"/>
  <c r="AA7" i="1"/>
  <c r="AA6" i="1"/>
  <c r="M46" i="1"/>
  <c r="O36" i="1"/>
  <c r="O27" i="1"/>
  <c r="O16" i="1"/>
  <c r="O15" i="1"/>
  <c r="O14" i="1"/>
  <c r="O13" i="1"/>
  <c r="O12" i="1"/>
  <c r="AA43" i="1"/>
  <c r="AA42" i="1"/>
  <c r="AA41" i="1"/>
  <c r="AA5" i="1"/>
  <c r="AA4" i="1"/>
  <c r="O39" i="1"/>
  <c r="O29" i="1"/>
  <c r="N32" i="1"/>
  <c r="N45" i="1"/>
  <c r="N50" i="1"/>
  <c r="N51" i="1" s="1"/>
  <c r="N42" i="1"/>
  <c r="N43" i="1"/>
  <c r="N41" i="1"/>
  <c r="N40" i="1"/>
  <c r="N38" i="1"/>
  <c r="N37" i="1"/>
  <c r="N36" i="1"/>
  <c r="M44" i="1"/>
  <c r="C39" i="1"/>
  <c r="C44" i="1" s="1"/>
  <c r="D39" i="1"/>
  <c r="D44" i="1" s="1"/>
  <c r="E39" i="1"/>
  <c r="E44" i="1" s="1"/>
  <c r="F39" i="1"/>
  <c r="F44" i="1" s="1"/>
  <c r="G39" i="1"/>
  <c r="G44" i="1" s="1"/>
  <c r="H39" i="1"/>
  <c r="H44" i="1" s="1"/>
  <c r="I39" i="1"/>
  <c r="I44" i="1" s="1"/>
  <c r="J39" i="1"/>
  <c r="J44" i="1" s="1"/>
  <c r="K39" i="1"/>
  <c r="K44" i="1" s="1"/>
  <c r="L39" i="1"/>
  <c r="L44" i="1" s="1"/>
  <c r="M39" i="1"/>
  <c r="B31" i="1"/>
  <c r="N30" i="1"/>
  <c r="N28" i="1"/>
  <c r="N26" i="1"/>
  <c r="N25" i="1"/>
  <c r="N24" i="1"/>
  <c r="M29" i="1"/>
  <c r="C27" i="1"/>
  <c r="B27" i="1"/>
  <c r="B20" i="1"/>
  <c r="N19" i="1"/>
  <c r="N12" i="1"/>
  <c r="L13" i="1"/>
  <c r="M13" i="1"/>
  <c r="L14" i="1"/>
  <c r="M14" i="1"/>
  <c r="L15" i="1"/>
  <c r="M15" i="1"/>
  <c r="L16" i="1"/>
  <c r="M16" i="1"/>
  <c r="K13" i="1"/>
  <c r="B12" i="1"/>
  <c r="N4" i="1"/>
  <c r="C16" i="1"/>
  <c r="N16" i="1" s="1"/>
  <c r="B39" i="1"/>
  <c r="B44" i="1" s="1"/>
  <c r="B45" i="1" s="1"/>
  <c r="C31" i="1"/>
  <c r="D31" i="1"/>
  <c r="E31" i="1"/>
  <c r="F31" i="1"/>
  <c r="G31" i="1"/>
  <c r="H31" i="1"/>
  <c r="I31" i="1"/>
  <c r="J31" i="1"/>
  <c r="K31" i="1"/>
  <c r="L31" i="1"/>
  <c r="M31" i="1"/>
  <c r="L29" i="1"/>
  <c r="K29" i="1"/>
  <c r="J29" i="1"/>
  <c r="I29" i="1"/>
  <c r="H29" i="1"/>
  <c r="G29" i="1"/>
  <c r="F29" i="1"/>
  <c r="E29" i="1"/>
  <c r="D29" i="1"/>
  <c r="C29" i="1"/>
  <c r="B29" i="1"/>
  <c r="M27" i="1"/>
  <c r="L27" i="1"/>
  <c r="K27" i="1"/>
  <c r="J27" i="1"/>
  <c r="I27" i="1"/>
  <c r="H27" i="1"/>
  <c r="G27" i="1"/>
  <c r="F27" i="1"/>
  <c r="E27" i="1"/>
  <c r="D2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J13" i="1"/>
  <c r="I13" i="1"/>
  <c r="H13" i="1"/>
  <c r="G13" i="1"/>
  <c r="F13" i="1"/>
  <c r="E13" i="1"/>
  <c r="D13" i="1"/>
  <c r="C13" i="1"/>
  <c r="B16" i="1"/>
  <c r="B15" i="1"/>
  <c r="B14" i="1"/>
  <c r="B13" i="1"/>
  <c r="N8" i="1"/>
  <c r="N7" i="1"/>
  <c r="N6" i="1"/>
  <c r="N5" i="1"/>
  <c r="B9" i="1"/>
  <c r="C4" i="1" s="1"/>
  <c r="C20" i="1" s="1"/>
  <c r="V45" i="1" l="1"/>
  <c r="AA16" i="1"/>
  <c r="AA9" i="1"/>
  <c r="U17" i="1"/>
  <c r="AA44" i="1"/>
  <c r="AA45" i="1" s="1"/>
  <c r="AA17" i="1"/>
  <c r="T17" i="1"/>
  <c r="AA31" i="1"/>
  <c r="AA27" i="1"/>
  <c r="AA29" i="1"/>
  <c r="R17" i="1"/>
  <c r="P12" i="1"/>
  <c r="P17" i="1" s="1"/>
  <c r="P9" i="1"/>
  <c r="P20" i="1"/>
  <c r="O17" i="1"/>
  <c r="O51" i="1"/>
  <c r="N14" i="1"/>
  <c r="N13" i="1"/>
  <c r="N39" i="1"/>
  <c r="N44" i="1" s="1"/>
  <c r="N15" i="1"/>
  <c r="N31" i="1"/>
  <c r="N27" i="1"/>
  <c r="N29" i="1"/>
  <c r="N17" i="1"/>
  <c r="N9" i="1"/>
  <c r="B17" i="1"/>
  <c r="C12" i="1" s="1"/>
  <c r="C17" i="1" s="1"/>
  <c r="D12" i="1" s="1"/>
  <c r="D17" i="1" s="1"/>
  <c r="C36" i="1"/>
  <c r="C45" i="1" s="1"/>
  <c r="C9" i="1"/>
  <c r="B51" i="1" l="1"/>
  <c r="D36" i="1"/>
  <c r="D4" i="1"/>
  <c r="D20" i="1" s="1"/>
  <c r="D45" i="1" l="1"/>
  <c r="E36" i="1" s="1"/>
  <c r="E45" i="1" s="1"/>
  <c r="D9" i="1"/>
  <c r="E4" i="1" s="1"/>
  <c r="E20" i="1" s="1"/>
  <c r="E12" i="1"/>
  <c r="E17" i="1" s="1"/>
  <c r="C51" i="1"/>
  <c r="F12" i="1" l="1"/>
  <c r="F17" i="1" s="1"/>
  <c r="D51" i="1"/>
  <c r="E9" i="1"/>
  <c r="F4" i="1" s="1"/>
  <c r="F20" i="1" s="1"/>
  <c r="F36" i="1"/>
  <c r="F45" i="1" s="1"/>
  <c r="F9" i="1" l="1"/>
  <c r="G4" i="1" s="1"/>
  <c r="G20" i="1" s="1"/>
  <c r="G12" i="1"/>
  <c r="G17" i="1" s="1"/>
  <c r="E51" i="1"/>
  <c r="G36" i="1"/>
  <c r="G45" i="1" s="1"/>
  <c r="G9" i="1" l="1"/>
  <c r="H4" i="1" s="1"/>
  <c r="H20" i="1" s="1"/>
  <c r="H12" i="1"/>
  <c r="H17" i="1" s="1"/>
  <c r="F51" i="1"/>
  <c r="G46" i="1"/>
  <c r="H36" i="1"/>
  <c r="H45" i="1" s="1"/>
  <c r="I12" i="1" l="1"/>
  <c r="I17" i="1" s="1"/>
  <c r="G51" i="1"/>
  <c r="H9" i="1"/>
  <c r="I4" i="1" s="1"/>
  <c r="I20" i="1" s="1"/>
  <c r="H46" i="1"/>
  <c r="I36" i="1"/>
  <c r="I45" i="1" s="1"/>
  <c r="I9" i="1" l="1"/>
  <c r="J4" i="1" s="1"/>
  <c r="J20" i="1" s="1"/>
  <c r="J12" i="1"/>
  <c r="J17" i="1" s="1"/>
  <c r="H51" i="1"/>
  <c r="J36" i="1"/>
  <c r="J45" i="1" s="1"/>
  <c r="K12" i="1" l="1"/>
  <c r="K17" i="1" s="1"/>
  <c r="K51" i="1" s="1"/>
  <c r="I51" i="1"/>
  <c r="J9" i="1"/>
  <c r="K4" i="1" s="1"/>
  <c r="K20" i="1" s="1"/>
  <c r="J46" i="1"/>
  <c r="K36" i="1"/>
  <c r="K45" i="1" s="1"/>
  <c r="K46" i="1" s="1"/>
  <c r="K9" i="1" l="1"/>
  <c r="L4" i="1" s="1"/>
  <c r="L12" i="1"/>
  <c r="L17" i="1" s="1"/>
  <c r="L51" i="1" s="1"/>
  <c r="J51" i="1"/>
  <c r="L36" i="1"/>
  <c r="L45" i="1" s="1"/>
  <c r="L46" i="1" s="1"/>
  <c r="L9" i="1" l="1"/>
  <c r="M4" i="1" s="1"/>
  <c r="L20" i="1"/>
  <c r="M36" i="1"/>
  <c r="M45" i="1" s="1"/>
  <c r="M9" i="1" l="1"/>
  <c r="M20" i="1"/>
  <c r="M12" i="1"/>
  <c r="M17" i="1" s="1"/>
  <c r="M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Guilherme Guerra</author>
    <author>tc={FD1AEE8E-AD04-44FB-A864-6BEEA97BA208}</author>
  </authors>
  <commentList>
    <comment ref="J30" authorId="0" shapeId="0" xr:uid="{B86B0C1D-40E9-4A4A-AE34-CAA043F3EF09}">
      <text>
        <r>
          <rPr>
            <b/>
            <sz val="9"/>
            <color indexed="81"/>
            <rFont val="Segoe UI"/>
            <family val="2"/>
          </rPr>
          <t>PDD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W30" authorId="0" shapeId="0" xr:uid="{A45E81D1-54F6-4440-B45F-53CEEBD8E4B4}">
      <text>
        <r>
          <rPr>
            <b/>
            <sz val="9"/>
            <color indexed="81"/>
            <rFont val="Segoe UI"/>
            <family val="2"/>
          </rPr>
          <t>PDD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37" authorId="1" shapeId="0" xr:uid="{FD1AEE8E-AD04-44FB-A864-6BEEA97BA2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Descasamento de Data de Vencimento - Deve compensar esse número em Fevereiro e Março = impactando no Burn Real</t>
      </text>
    </comment>
  </commentList>
</comments>
</file>

<file path=xl/sharedStrings.xml><?xml version="1.0" encoding="utf-8"?>
<sst xmlns="http://schemas.openxmlformats.org/spreadsheetml/2006/main" count="43" uniqueCount="39">
  <si>
    <t>MRR Inicial</t>
  </si>
  <si>
    <t>New MRR</t>
  </si>
  <si>
    <t>Upsell</t>
  </si>
  <si>
    <t>Churn</t>
  </si>
  <si>
    <t>Downsell</t>
  </si>
  <si>
    <t>MRR Final</t>
  </si>
  <si>
    <t>ARR Evolution</t>
  </si>
  <si>
    <t>MRR Evolution</t>
  </si>
  <si>
    <t>ARR Inicial</t>
  </si>
  <si>
    <t>New ARR</t>
  </si>
  <si>
    <t>ARR Final</t>
  </si>
  <si>
    <t>P&amp;L</t>
  </si>
  <si>
    <t>Gross Revenue</t>
  </si>
  <si>
    <t>Net Revenue</t>
  </si>
  <si>
    <t>Pro Lancer</t>
  </si>
  <si>
    <t>Costs</t>
  </si>
  <si>
    <t>Despesas</t>
  </si>
  <si>
    <t>EBITDA</t>
  </si>
  <si>
    <t>Resultado</t>
  </si>
  <si>
    <t>Cash Flow</t>
  </si>
  <si>
    <t>Saldo inicial</t>
  </si>
  <si>
    <t>Recebimentos</t>
  </si>
  <si>
    <t>Pagamentos</t>
  </si>
  <si>
    <t>Cash Flow Operacional</t>
  </si>
  <si>
    <t>Resultado Financeiro</t>
  </si>
  <si>
    <t>CashFlow Total</t>
  </si>
  <si>
    <t>Saldo Final</t>
  </si>
  <si>
    <t>Aportes BR</t>
  </si>
  <si>
    <t>Saldo Fora BR</t>
  </si>
  <si>
    <t>RunWay (Mths)</t>
  </si>
  <si>
    <t>Ticket Médio</t>
  </si>
  <si>
    <t>Financial Churn</t>
  </si>
  <si>
    <t>Headcount</t>
  </si>
  <si>
    <t>ARR/HC</t>
  </si>
  <si>
    <t>Take Rate %</t>
  </si>
  <si>
    <t>Gross Margin %</t>
  </si>
  <si>
    <t>Pgto não ope. (Ex sócio)</t>
  </si>
  <si>
    <t>YTD26</t>
  </si>
  <si>
    <t>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</si>
</sst>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0" xfId="0" applyNumberFormat="1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right"/>
    </xf>
    <xf numFmtId="9" fontId="5" fillId="2" borderId="4" xfId="0" applyNumberFormat="1" applyFont="1" applyFill="1" applyBorder="1" applyAlignment="1">
      <alignment horizontal="right"/>
    </xf>
    <xf numFmtId="9" fontId="4" fillId="2" borderId="4" xfId="1" applyFont="1" applyFill="1" applyBorder="1" applyAlignment="1">
      <alignment horizontal="right"/>
    </xf>
    <xf numFmtId="0" fontId="0" fillId="2" borderId="5" xfId="0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17" fontId="2" fillId="3" borderId="0" xfId="0" applyNumberFormat="1" applyFont="1" applyFill="1" applyAlignment="1">
      <alignment horizontal="right"/>
    </xf>
    <xf numFmtId="0" fontId="0" fillId="0" borderId="0" xfId="0" quotePrefix="1" applyAlignment="1">
      <alignment horizontal="right"/>
    </xf>
    <xf numFmtId="1" fontId="0" fillId="0" borderId="0" xfId="0" quotePrefix="1" applyNumberFormat="1" applyAlignment="1">
      <alignment horizontal="right"/>
    </xf>
    <xf numFmtId="0" fontId="3" fillId="2" borderId="3" xfId="0" applyFont="1" applyFill="1" applyBorder="1" applyAlignment="1">
      <alignment horizontal="center"/>
    </xf>
    <xf numFmtId="9" fontId="0" fillId="0" borderId="0" xfId="1" applyFont="1" applyAlignment="1">
      <alignment horizontal="right"/>
    </xf>
    <xf numFmtId="0" fontId="2" fillId="3" borderId="6" xfId="0" applyFont="1" applyFill="1" applyBorder="1" applyAlignment="1">
      <alignment horizontal="right"/>
    </xf>
    <xf numFmtId="0" fontId="0" fillId="0" borderId="7" xfId="0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3" fontId="4" fillId="2" borderId="2" xfId="0" applyNumberFormat="1" applyFont="1" applyFill="1" applyBorder="1" applyAlignment="1">
      <alignment horizontal="right"/>
    </xf>
    <xf numFmtId="0" fontId="0" fillId="0" borderId="8" xfId="0" applyBorder="1" applyAlignment="1">
      <alignment horizontal="right"/>
    </xf>
    <xf numFmtId="9" fontId="0" fillId="0" borderId="8" xfId="1" applyFont="1" applyBorder="1" applyAlignment="1">
      <alignment horizontal="right"/>
    </xf>
    <xf numFmtId="9" fontId="5" fillId="2" borderId="2" xfId="0" applyNumberFormat="1" applyFont="1" applyFill="1" applyBorder="1" applyAlignment="1">
      <alignment horizontal="right"/>
    </xf>
    <xf numFmtId="9" fontId="4" fillId="2" borderId="2" xfId="1" applyFont="1" applyFill="1" applyBorder="1" applyAlignment="1">
      <alignment horizontal="right"/>
    </xf>
    <xf numFmtId="3" fontId="4" fillId="2" borderId="7" xfId="0" applyNumberFormat="1" applyFont="1" applyFill="1" applyBorder="1" applyAlignment="1">
      <alignment horizontal="right"/>
    </xf>
    <xf numFmtId="1" fontId="0" fillId="0" borderId="8" xfId="0" applyNumberForma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4" borderId="0" xfId="0" applyNumberFormat="1" applyFont="1" applyFill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herme Guerra" id="{F553E0A0-F34F-4B0A-9800-D23221281454}" userId="7ef36c3c10062743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7" dT="2026-02-11T12:44:00.47" personId="{F553E0A0-F34F-4B0A-9800-D23221281454}" id="{FD1AEE8E-AD04-44FB-A864-6BEEA97BA208}">
    <text>Descasamento de Data de Vencimento - Deve compensar esse número em Fevereiro e Março = impactando no Burn Real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E5FA-FA0F-42AE-BAAA-97C04C912356}">
  <dimension ref="A2:AA51"/>
  <sheetViews>
    <sheetView showGridLines="0" tabSelected="1" zoomScale="80" zoomScaleNormal="80" zoomScaleSheetLayoutView="50" workbookViewId="0">
      <pane ySplit="2" topLeftCell="A3" activePane="bottomLeft" state="frozen"/>
      <selection pane="bottomLeft" activeCell="AD11" sqref="AD11"/>
    </sheetView>
  </sheetViews>
  <sheetFormatPr defaultRowHeight="15" x14ac:dyDescent="0.25"/>
  <cols>
    <col min="1" max="1" width="21.85546875" style="1" customWidth="1"/>
    <col min="2" max="14" width="13.42578125" style="4" hidden="1" customWidth="1"/>
    <col min="15" max="19" width="13.42578125" style="4" customWidth="1"/>
    <col min="20" max="20" width="10.85546875" style="4" bestFit="1" customWidth="1"/>
    <col min="21" max="22" width="13.42578125" style="4" customWidth="1"/>
    <col min="23" max="26" width="13.42578125" style="4" hidden="1" customWidth="1"/>
    <col min="27" max="27" width="13.42578125" style="4" customWidth="1"/>
  </cols>
  <sheetData>
    <row r="2" spans="1:27" x14ac:dyDescent="0.25">
      <c r="A2" s="13"/>
      <c r="B2" s="14">
        <v>45658</v>
      </c>
      <c r="C2" s="14">
        <v>45689</v>
      </c>
      <c r="D2" s="14">
        <v>45717</v>
      </c>
      <c r="E2" s="14">
        <v>45748</v>
      </c>
      <c r="F2" s="14">
        <v>45778</v>
      </c>
      <c r="G2" s="14">
        <v>45809</v>
      </c>
      <c r="H2" s="14">
        <v>45839</v>
      </c>
      <c r="I2" s="14">
        <v>45870</v>
      </c>
      <c r="J2" s="14">
        <v>45901</v>
      </c>
      <c r="K2" s="14">
        <v>45931</v>
      </c>
      <c r="L2" s="14">
        <v>45962</v>
      </c>
      <c r="M2" s="14">
        <v>45992</v>
      </c>
      <c r="N2" s="19" t="s">
        <v>38</v>
      </c>
      <c r="O2" s="14">
        <v>46023</v>
      </c>
      <c r="P2" s="14">
        <v>46054</v>
      </c>
      <c r="Q2" s="14">
        <v>46082</v>
      </c>
      <c r="R2" s="14">
        <v>46113</v>
      </c>
      <c r="S2" s="14">
        <v>46143</v>
      </c>
      <c r="T2" s="14">
        <v>46174</v>
      </c>
      <c r="U2" s="14">
        <v>46204</v>
      </c>
      <c r="V2" s="14">
        <v>46235</v>
      </c>
      <c r="W2" s="14">
        <v>46266</v>
      </c>
      <c r="X2" s="14">
        <v>46296</v>
      </c>
      <c r="Y2" s="14">
        <v>46327</v>
      </c>
      <c r="Z2" s="14">
        <v>46357</v>
      </c>
      <c r="AA2" s="19" t="s">
        <v>37</v>
      </c>
    </row>
    <row r="3" spans="1:27" x14ac:dyDescent="0.25">
      <c r="A3" s="2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20"/>
    </row>
    <row r="4" spans="1:27" x14ac:dyDescent="0.25">
      <c r="A4" s="1" t="s">
        <v>0</v>
      </c>
      <c r="B4" s="6">
        <v>2945159</v>
      </c>
      <c r="C4" s="6">
        <f>B9</f>
        <v>3075052</v>
      </c>
      <c r="D4" s="6">
        <f t="shared" ref="D4:K4" si="0">C9</f>
        <v>3182140</v>
      </c>
      <c r="E4" s="6">
        <f t="shared" si="0"/>
        <v>3112375</v>
      </c>
      <c r="F4" s="6">
        <f t="shared" si="0"/>
        <v>2386449</v>
      </c>
      <c r="G4" s="6">
        <f t="shared" si="0"/>
        <v>2428422</v>
      </c>
      <c r="H4" s="6">
        <f t="shared" si="0"/>
        <v>1930763</v>
      </c>
      <c r="I4" s="6">
        <f t="shared" si="0"/>
        <v>1754347</v>
      </c>
      <c r="J4" s="6">
        <f t="shared" si="0"/>
        <v>1811490</v>
      </c>
      <c r="K4" s="6">
        <f t="shared" si="0"/>
        <v>1602311</v>
      </c>
      <c r="L4" s="6">
        <f t="shared" ref="L4" si="1">K9</f>
        <v>1679971</v>
      </c>
      <c r="M4" s="6">
        <f t="shared" ref="M4" si="2">L9</f>
        <v>1714230</v>
      </c>
      <c r="N4" s="21">
        <f>B4</f>
        <v>2945159</v>
      </c>
      <c r="O4" s="6">
        <f>M9</f>
        <v>1805102</v>
      </c>
      <c r="P4" s="6">
        <f>O9</f>
        <v>2086700</v>
      </c>
      <c r="Q4" s="6">
        <f t="shared" ref="P4:V4" si="3">P9</f>
        <v>1831495</v>
      </c>
      <c r="R4" s="6">
        <f t="shared" si="3"/>
        <v>2071655</v>
      </c>
      <c r="S4" s="6">
        <f t="shared" si="3"/>
        <v>1997926</v>
      </c>
      <c r="T4" s="6">
        <f t="shared" si="3"/>
        <v>1855765</v>
      </c>
      <c r="U4" s="6">
        <f t="shared" si="3"/>
        <v>1848125</v>
      </c>
      <c r="V4" s="6">
        <f t="shared" si="3"/>
        <v>1990344</v>
      </c>
      <c r="W4" s="6"/>
      <c r="X4" s="6"/>
      <c r="Y4" s="6"/>
      <c r="Z4" s="6"/>
      <c r="AA4" s="21">
        <f>O4</f>
        <v>1805102</v>
      </c>
    </row>
    <row r="5" spans="1:27" x14ac:dyDescent="0.25">
      <c r="A5" s="1" t="s">
        <v>1</v>
      </c>
      <c r="B5" s="6"/>
      <c r="C5" s="6">
        <v>24000</v>
      </c>
      <c r="D5" s="6"/>
      <c r="E5" s="6"/>
      <c r="F5" s="6">
        <v>9281</v>
      </c>
      <c r="G5" s="6">
        <v>94041</v>
      </c>
      <c r="H5" s="6">
        <v>4129</v>
      </c>
      <c r="I5" s="6">
        <v>33464</v>
      </c>
      <c r="J5" s="6"/>
      <c r="K5" s="6">
        <v>114149</v>
      </c>
      <c r="L5" s="6"/>
      <c r="M5" s="6">
        <v>15900</v>
      </c>
      <c r="N5" s="21">
        <f>SUM(B5:M5)</f>
        <v>294964</v>
      </c>
      <c r="O5" s="6">
        <v>306667</v>
      </c>
      <c r="P5" s="6">
        <v>34061</v>
      </c>
      <c r="Q5" s="6">
        <v>0</v>
      </c>
      <c r="R5" s="6">
        <v>10000</v>
      </c>
      <c r="S5" s="6">
        <v>0</v>
      </c>
      <c r="T5" s="6">
        <v>0</v>
      </c>
      <c r="U5" s="6">
        <v>205456</v>
      </c>
      <c r="V5" s="6">
        <v>25000</v>
      </c>
      <c r="W5" s="6"/>
      <c r="X5" s="6"/>
      <c r="Y5" s="6"/>
      <c r="Z5" s="6"/>
      <c r="AA5" s="21">
        <f>SUM(O5:Z5)</f>
        <v>581184</v>
      </c>
    </row>
    <row r="6" spans="1:27" x14ac:dyDescent="0.25">
      <c r="A6" s="1" t="s">
        <v>2</v>
      </c>
      <c r="B6" s="6">
        <v>234754</v>
      </c>
      <c r="C6" s="6">
        <v>119612</v>
      </c>
      <c r="D6" s="6">
        <v>86324</v>
      </c>
      <c r="E6" s="6">
        <v>45831</v>
      </c>
      <c r="F6" s="6">
        <v>68214</v>
      </c>
      <c r="G6" s="6">
        <v>40373</v>
      </c>
      <c r="H6" s="6">
        <v>44503</v>
      </c>
      <c r="I6" s="6">
        <v>44461</v>
      </c>
      <c r="J6" s="6">
        <v>26804</v>
      </c>
      <c r="K6" s="6">
        <v>15548</v>
      </c>
      <c r="L6" s="6">
        <v>126754</v>
      </c>
      <c r="M6" s="6">
        <v>177027</v>
      </c>
      <c r="N6" s="21">
        <f>SUM(B6:M6)</f>
        <v>1030205</v>
      </c>
      <c r="O6" s="6">
        <v>15003</v>
      </c>
      <c r="P6" s="6">
        <v>0</v>
      </c>
      <c r="Q6" s="6">
        <v>320160</v>
      </c>
      <c r="R6" s="6">
        <v>13214</v>
      </c>
      <c r="S6" s="6">
        <v>66173</v>
      </c>
      <c r="T6" s="6">
        <v>105374</v>
      </c>
      <c r="U6" s="6">
        <v>5333</v>
      </c>
      <c r="V6" s="6">
        <v>2128</v>
      </c>
      <c r="W6" s="6"/>
      <c r="X6" s="6"/>
      <c r="Y6" s="6"/>
      <c r="Z6" s="6"/>
      <c r="AA6" s="21">
        <f>SUM(O6:Z6)</f>
        <v>527385</v>
      </c>
    </row>
    <row r="7" spans="1:27" x14ac:dyDescent="0.25">
      <c r="A7" s="1" t="s">
        <v>3</v>
      </c>
      <c r="B7" s="6">
        <v>-104861</v>
      </c>
      <c r="C7" s="6">
        <v>-16500</v>
      </c>
      <c r="D7" s="6">
        <v>-50089</v>
      </c>
      <c r="E7" s="6">
        <v>-569848</v>
      </c>
      <c r="F7" s="6">
        <v>-19148</v>
      </c>
      <c r="G7" s="6">
        <v>-38133</v>
      </c>
      <c r="H7" s="6">
        <v>-225048</v>
      </c>
      <c r="I7" s="6">
        <v>-9206</v>
      </c>
      <c r="J7" s="6">
        <v>-235983</v>
      </c>
      <c r="K7" s="6">
        <v>-52037</v>
      </c>
      <c r="L7" s="6">
        <v>-36542</v>
      </c>
      <c r="M7" s="6">
        <v>-30000</v>
      </c>
      <c r="N7" s="21">
        <f>SUM(B7:M7)</f>
        <v>-1387395</v>
      </c>
      <c r="O7" s="6">
        <v>0</v>
      </c>
      <c r="P7" s="6">
        <v>0</v>
      </c>
      <c r="Q7" s="6">
        <v>-80000</v>
      </c>
      <c r="R7" s="6">
        <v>-15900</v>
      </c>
      <c r="S7" s="6">
        <v>-59072</v>
      </c>
      <c r="T7" s="6">
        <v>-90081</v>
      </c>
      <c r="U7" s="6">
        <v>-10933</v>
      </c>
      <c r="V7" s="6">
        <v>-14133</v>
      </c>
      <c r="W7" s="6"/>
      <c r="X7" s="6"/>
      <c r="Y7" s="6"/>
      <c r="Z7" s="6"/>
      <c r="AA7" s="21">
        <f>SUM(O7:Z7)</f>
        <v>-270119</v>
      </c>
    </row>
    <row r="8" spans="1:27" x14ac:dyDescent="0.25">
      <c r="A8" s="1" t="s">
        <v>4</v>
      </c>
      <c r="B8" s="6"/>
      <c r="C8" s="6">
        <v>-20024</v>
      </c>
      <c r="D8" s="6">
        <v>-106000</v>
      </c>
      <c r="E8" s="6">
        <v>-201909</v>
      </c>
      <c r="F8" s="6">
        <v>-16374</v>
      </c>
      <c r="G8" s="6">
        <v>-593940</v>
      </c>
      <c r="H8" s="6"/>
      <c r="I8" s="6">
        <v>-11576</v>
      </c>
      <c r="J8" s="6"/>
      <c r="K8" s="6"/>
      <c r="L8" s="6">
        <v>-55953</v>
      </c>
      <c r="M8" s="6">
        <v>-72055</v>
      </c>
      <c r="N8" s="21">
        <f>SUM(B8:M8)</f>
        <v>-1077831</v>
      </c>
      <c r="O8" s="6">
        <v>-40072</v>
      </c>
      <c r="P8" s="6">
        <v>-289266</v>
      </c>
      <c r="Q8" s="6">
        <v>0</v>
      </c>
      <c r="R8" s="6">
        <v>-81043</v>
      </c>
      <c r="S8" s="6">
        <v>-149262</v>
      </c>
      <c r="T8" s="6">
        <v>-22933</v>
      </c>
      <c r="U8" s="6">
        <v>-57637</v>
      </c>
      <c r="V8" s="6">
        <v>-367892</v>
      </c>
      <c r="W8" s="6"/>
      <c r="X8" s="6"/>
      <c r="Y8" s="6"/>
      <c r="Z8" s="6"/>
      <c r="AA8" s="21">
        <f>SUM(O8:Z8)</f>
        <v>-1008105</v>
      </c>
    </row>
    <row r="9" spans="1:27" x14ac:dyDescent="0.25">
      <c r="A9" s="7" t="s">
        <v>5</v>
      </c>
      <c r="B9" s="8">
        <f t="shared" ref="B9:K9" si="4">B4+B5+B6+B8+B7</f>
        <v>3075052</v>
      </c>
      <c r="C9" s="8">
        <f t="shared" si="4"/>
        <v>3182140</v>
      </c>
      <c r="D9" s="8">
        <f t="shared" si="4"/>
        <v>3112375</v>
      </c>
      <c r="E9" s="8">
        <f t="shared" si="4"/>
        <v>2386449</v>
      </c>
      <c r="F9" s="8">
        <f t="shared" si="4"/>
        <v>2428422</v>
      </c>
      <c r="G9" s="8">
        <f t="shared" si="4"/>
        <v>1930763</v>
      </c>
      <c r="H9" s="8">
        <f t="shared" si="4"/>
        <v>1754347</v>
      </c>
      <c r="I9" s="8">
        <f t="shared" si="4"/>
        <v>1811490</v>
      </c>
      <c r="J9" s="8">
        <f t="shared" si="4"/>
        <v>1602311</v>
      </c>
      <c r="K9" s="8">
        <f t="shared" si="4"/>
        <v>1679971</v>
      </c>
      <c r="L9" s="8">
        <f t="shared" ref="L9" si="5">L4+L5+L6+L8+L7</f>
        <v>1714230</v>
      </c>
      <c r="M9" s="8">
        <f t="shared" ref="M9" si="6">M4+M5+M6+M8+M7</f>
        <v>1805102</v>
      </c>
      <c r="N9" s="22">
        <f t="shared" ref="N9" si="7">N4+N5+N6+N7+N8</f>
        <v>1805102</v>
      </c>
      <c r="O9" s="8">
        <f t="shared" ref="O9:V9" si="8">O4+O5+O6+O8+O7</f>
        <v>2086700</v>
      </c>
      <c r="P9" s="8">
        <f t="shared" si="8"/>
        <v>1831495</v>
      </c>
      <c r="Q9" s="8">
        <f t="shared" si="8"/>
        <v>2071655</v>
      </c>
      <c r="R9" s="8">
        <f t="shared" si="8"/>
        <v>1997926</v>
      </c>
      <c r="S9" s="8">
        <f t="shared" si="8"/>
        <v>1855765</v>
      </c>
      <c r="T9" s="8">
        <f t="shared" si="8"/>
        <v>1848125</v>
      </c>
      <c r="U9" s="8">
        <f t="shared" si="8"/>
        <v>1990344</v>
      </c>
      <c r="V9" s="8">
        <f t="shared" si="8"/>
        <v>1635447</v>
      </c>
      <c r="W9" s="8"/>
      <c r="X9" s="8"/>
      <c r="Y9" s="8"/>
      <c r="Z9" s="8"/>
      <c r="AA9" s="22">
        <f>AA4+AA5+AA6+AA7+AA8</f>
        <v>1635447</v>
      </c>
    </row>
    <row r="10" spans="1:27" x14ac:dyDescent="0.25">
      <c r="N10" s="23"/>
      <c r="AA10" s="23"/>
    </row>
    <row r="11" spans="1:27" x14ac:dyDescent="0.25">
      <c r="A11" s="2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20"/>
    </row>
    <row r="12" spans="1:27" x14ac:dyDescent="0.25">
      <c r="A12" s="1" t="s">
        <v>8</v>
      </c>
      <c r="B12" s="6">
        <f>B4*12</f>
        <v>35341908</v>
      </c>
      <c r="C12" s="6">
        <f>B17</f>
        <v>36900624</v>
      </c>
      <c r="D12" s="6">
        <f t="shared" ref="D12:M12" si="9">C17</f>
        <v>38185680</v>
      </c>
      <c r="E12" s="6">
        <f t="shared" si="9"/>
        <v>37348500</v>
      </c>
      <c r="F12" s="6">
        <f t="shared" si="9"/>
        <v>28637388</v>
      </c>
      <c r="G12" s="6">
        <f t="shared" si="9"/>
        <v>29141064</v>
      </c>
      <c r="H12" s="6">
        <f t="shared" si="9"/>
        <v>23169156</v>
      </c>
      <c r="I12" s="6">
        <f t="shared" si="9"/>
        <v>21052164</v>
      </c>
      <c r="J12" s="6">
        <f t="shared" si="9"/>
        <v>21737880</v>
      </c>
      <c r="K12" s="6">
        <f t="shared" si="9"/>
        <v>19227732</v>
      </c>
      <c r="L12" s="6">
        <f t="shared" si="9"/>
        <v>20159652</v>
      </c>
      <c r="M12" s="6">
        <f t="shared" si="9"/>
        <v>20570760</v>
      </c>
      <c r="N12" s="21">
        <f>B12</f>
        <v>35341908</v>
      </c>
      <c r="O12" s="6">
        <f t="shared" ref="O12:P14" si="10">O4*12</f>
        <v>21661224</v>
      </c>
      <c r="P12" s="6">
        <f t="shared" si="10"/>
        <v>25040400</v>
      </c>
      <c r="Q12" s="6">
        <f t="shared" ref="Q12:R12" si="11">Q4*12</f>
        <v>21977940</v>
      </c>
      <c r="R12" s="6">
        <f t="shared" si="11"/>
        <v>24859860</v>
      </c>
      <c r="S12" s="6">
        <f t="shared" ref="S12:T12" si="12">S4*12</f>
        <v>23975112</v>
      </c>
      <c r="T12" s="6">
        <f t="shared" si="12"/>
        <v>22269180</v>
      </c>
      <c r="U12" s="6">
        <f t="shared" ref="U12:V12" si="13">U4*12</f>
        <v>22177500</v>
      </c>
      <c r="V12" s="6">
        <f t="shared" si="13"/>
        <v>23884128</v>
      </c>
      <c r="W12" s="6"/>
      <c r="X12" s="6"/>
      <c r="Y12" s="6"/>
      <c r="Z12" s="6"/>
      <c r="AA12" s="21">
        <f>O12</f>
        <v>21661224</v>
      </c>
    </row>
    <row r="13" spans="1:27" x14ac:dyDescent="0.25">
      <c r="A13" s="1" t="s">
        <v>9</v>
      </c>
      <c r="B13" s="6">
        <f t="shared" ref="B13:J14" si="14">B5*12</f>
        <v>0</v>
      </c>
      <c r="C13" s="6">
        <f t="shared" si="14"/>
        <v>288000</v>
      </c>
      <c r="D13" s="6">
        <f t="shared" si="14"/>
        <v>0</v>
      </c>
      <c r="E13" s="6">
        <f t="shared" si="14"/>
        <v>0</v>
      </c>
      <c r="F13" s="6">
        <f t="shared" si="14"/>
        <v>111372</v>
      </c>
      <c r="G13" s="6">
        <f t="shared" si="14"/>
        <v>1128492</v>
      </c>
      <c r="H13" s="6">
        <f t="shared" si="14"/>
        <v>49548</v>
      </c>
      <c r="I13" s="6">
        <f t="shared" si="14"/>
        <v>401568</v>
      </c>
      <c r="J13" s="6">
        <f t="shared" si="14"/>
        <v>0</v>
      </c>
      <c r="K13" s="6">
        <f>K5*12</f>
        <v>1369788</v>
      </c>
      <c r="L13" s="6">
        <f t="shared" ref="L13:M13" si="15">L5*12</f>
        <v>0</v>
      </c>
      <c r="M13" s="6">
        <f t="shared" si="15"/>
        <v>190800</v>
      </c>
      <c r="N13" s="21">
        <f>SUM(B13:M13)</f>
        <v>3539568</v>
      </c>
      <c r="O13" s="6">
        <f t="shared" si="10"/>
        <v>3680004</v>
      </c>
      <c r="P13" s="6">
        <f t="shared" si="10"/>
        <v>408732</v>
      </c>
      <c r="Q13" s="6">
        <f t="shared" ref="Q13:R13" si="16">Q5*12</f>
        <v>0</v>
      </c>
      <c r="R13" s="6">
        <f t="shared" si="16"/>
        <v>120000</v>
      </c>
      <c r="S13" s="6">
        <f t="shared" ref="S13:T13" si="17">S5*12</f>
        <v>0</v>
      </c>
      <c r="T13" s="6">
        <f t="shared" si="17"/>
        <v>0</v>
      </c>
      <c r="U13" s="6">
        <f t="shared" ref="U13:V13" si="18">U5*12</f>
        <v>2465472</v>
      </c>
      <c r="V13" s="6">
        <f t="shared" si="18"/>
        <v>300000</v>
      </c>
      <c r="W13" s="6"/>
      <c r="X13" s="6"/>
      <c r="Y13" s="6"/>
      <c r="Z13" s="6"/>
      <c r="AA13" s="21">
        <f>SUM(O13:Z13)</f>
        <v>6974208</v>
      </c>
    </row>
    <row r="14" spans="1:27" x14ac:dyDescent="0.25">
      <c r="A14" s="1" t="s">
        <v>2</v>
      </c>
      <c r="B14" s="6">
        <f t="shared" si="14"/>
        <v>2817048</v>
      </c>
      <c r="C14" s="6">
        <f t="shared" si="14"/>
        <v>1435344</v>
      </c>
      <c r="D14" s="6">
        <f t="shared" si="14"/>
        <v>1035888</v>
      </c>
      <c r="E14" s="6">
        <f t="shared" si="14"/>
        <v>549972</v>
      </c>
      <c r="F14" s="6">
        <f t="shared" si="14"/>
        <v>818568</v>
      </c>
      <c r="G14" s="6">
        <f t="shared" si="14"/>
        <v>484476</v>
      </c>
      <c r="H14" s="6">
        <f t="shared" si="14"/>
        <v>534036</v>
      </c>
      <c r="I14" s="6">
        <f t="shared" si="14"/>
        <v>533532</v>
      </c>
      <c r="J14" s="6">
        <f t="shared" si="14"/>
        <v>321648</v>
      </c>
      <c r="K14" s="6">
        <f>K6*12</f>
        <v>186576</v>
      </c>
      <c r="L14" s="6">
        <f t="shared" ref="L14:M14" si="19">L6*12</f>
        <v>1521048</v>
      </c>
      <c r="M14" s="6">
        <f t="shared" si="19"/>
        <v>2124324</v>
      </c>
      <c r="N14" s="21">
        <f>SUM(B14:M14)</f>
        <v>12362460</v>
      </c>
      <c r="O14" s="6">
        <f t="shared" si="10"/>
        <v>180036</v>
      </c>
      <c r="P14" s="6">
        <f t="shared" si="10"/>
        <v>0</v>
      </c>
      <c r="Q14" s="6">
        <f t="shared" ref="Q14:R14" si="20">Q6*12</f>
        <v>3841920</v>
      </c>
      <c r="R14" s="6">
        <f t="shared" si="20"/>
        <v>158568</v>
      </c>
      <c r="S14" s="6">
        <f t="shared" ref="S14:T14" si="21">S6*12</f>
        <v>794076</v>
      </c>
      <c r="T14" s="6">
        <f t="shared" si="21"/>
        <v>1264488</v>
      </c>
      <c r="U14" s="6">
        <f t="shared" ref="U14:V14" si="22">U6*12</f>
        <v>63996</v>
      </c>
      <c r="V14" s="6">
        <f t="shared" si="22"/>
        <v>25536</v>
      </c>
      <c r="W14" s="6"/>
      <c r="X14" s="6"/>
      <c r="Y14" s="6"/>
      <c r="Z14" s="6"/>
      <c r="AA14" s="21">
        <f>SUM(O14:Z14)</f>
        <v>6328620</v>
      </c>
    </row>
    <row r="15" spans="1:27" x14ac:dyDescent="0.25">
      <c r="A15" s="1" t="s">
        <v>3</v>
      </c>
      <c r="B15" s="6">
        <f t="shared" ref="B15:J15" si="23">B8*12</f>
        <v>0</v>
      </c>
      <c r="C15" s="6">
        <f t="shared" si="23"/>
        <v>-240288</v>
      </c>
      <c r="D15" s="6">
        <f t="shared" si="23"/>
        <v>-1272000</v>
      </c>
      <c r="E15" s="6">
        <f t="shared" si="23"/>
        <v>-2422908</v>
      </c>
      <c r="F15" s="6">
        <f t="shared" si="23"/>
        <v>-196488</v>
      </c>
      <c r="G15" s="6">
        <f t="shared" si="23"/>
        <v>-7127280</v>
      </c>
      <c r="H15" s="6">
        <f t="shared" si="23"/>
        <v>0</v>
      </c>
      <c r="I15" s="6">
        <f t="shared" si="23"/>
        <v>-138912</v>
      </c>
      <c r="J15" s="6">
        <f t="shared" si="23"/>
        <v>0</v>
      </c>
      <c r="K15" s="6">
        <f>K8*12</f>
        <v>0</v>
      </c>
      <c r="L15" s="6">
        <f t="shared" ref="L15:M15" si="24">L8*12</f>
        <v>-671436</v>
      </c>
      <c r="M15" s="6">
        <f t="shared" si="24"/>
        <v>-864660</v>
      </c>
      <c r="N15" s="21">
        <f>SUM(B15:M15)</f>
        <v>-12933972</v>
      </c>
      <c r="O15" s="6">
        <f t="shared" ref="O15:T15" si="25">O8*12</f>
        <v>-480864</v>
      </c>
      <c r="P15" s="6">
        <f t="shared" si="25"/>
        <v>-3471192</v>
      </c>
      <c r="Q15" s="6">
        <f t="shared" si="25"/>
        <v>0</v>
      </c>
      <c r="R15" s="6">
        <f t="shared" si="25"/>
        <v>-972516</v>
      </c>
      <c r="S15" s="6">
        <f t="shared" si="25"/>
        <v>-1791144</v>
      </c>
      <c r="T15" s="6">
        <f t="shared" si="25"/>
        <v>-275196</v>
      </c>
      <c r="U15" s="6">
        <f t="shared" ref="U15:V15" si="26">U8*12</f>
        <v>-691644</v>
      </c>
      <c r="V15" s="6">
        <f t="shared" si="26"/>
        <v>-4414704</v>
      </c>
      <c r="W15" s="6"/>
      <c r="X15" s="6"/>
      <c r="Y15" s="6"/>
      <c r="Z15" s="6"/>
      <c r="AA15" s="21">
        <f>SUM(O15:Z15)</f>
        <v>-12097260</v>
      </c>
    </row>
    <row r="16" spans="1:27" x14ac:dyDescent="0.25">
      <c r="A16" s="1" t="s">
        <v>4</v>
      </c>
      <c r="B16" s="6">
        <f t="shared" ref="B16:J16" si="27">B7*12</f>
        <v>-1258332</v>
      </c>
      <c r="C16" s="6">
        <f>C7*12</f>
        <v>-198000</v>
      </c>
      <c r="D16" s="6">
        <f t="shared" si="27"/>
        <v>-601068</v>
      </c>
      <c r="E16" s="6">
        <f t="shared" si="27"/>
        <v>-6838176</v>
      </c>
      <c r="F16" s="6">
        <f t="shared" si="27"/>
        <v>-229776</v>
      </c>
      <c r="G16" s="6">
        <f t="shared" si="27"/>
        <v>-457596</v>
      </c>
      <c r="H16" s="6">
        <f t="shared" si="27"/>
        <v>-2700576</v>
      </c>
      <c r="I16" s="6">
        <f t="shared" si="27"/>
        <v>-110472</v>
      </c>
      <c r="J16" s="6">
        <f t="shared" si="27"/>
        <v>-2831796</v>
      </c>
      <c r="K16" s="6">
        <f>K7*12</f>
        <v>-624444</v>
      </c>
      <c r="L16" s="6">
        <f t="shared" ref="L16:M16" si="28">L7*12</f>
        <v>-438504</v>
      </c>
      <c r="M16" s="6">
        <f t="shared" si="28"/>
        <v>-360000</v>
      </c>
      <c r="N16" s="21">
        <f>SUM(B16:M16)</f>
        <v>-16648740</v>
      </c>
      <c r="O16" s="6">
        <f t="shared" ref="O16:T16" si="29">O7*12</f>
        <v>0</v>
      </c>
      <c r="P16" s="6">
        <f t="shared" si="29"/>
        <v>0</v>
      </c>
      <c r="Q16" s="6">
        <f t="shared" si="29"/>
        <v>-960000</v>
      </c>
      <c r="R16" s="6">
        <f t="shared" si="29"/>
        <v>-190800</v>
      </c>
      <c r="S16" s="6">
        <f t="shared" si="29"/>
        <v>-708864</v>
      </c>
      <c r="T16" s="6">
        <f t="shared" si="29"/>
        <v>-1080972</v>
      </c>
      <c r="U16" s="6">
        <f t="shared" ref="U16:V16" si="30">U7*12</f>
        <v>-131196</v>
      </c>
      <c r="V16" s="6">
        <f t="shared" si="30"/>
        <v>-169596</v>
      </c>
      <c r="W16" s="6"/>
      <c r="X16" s="6"/>
      <c r="Y16" s="6"/>
      <c r="Z16" s="6"/>
      <c r="AA16" s="21">
        <f>SUM(O16:Z16)</f>
        <v>-3241428</v>
      </c>
    </row>
    <row r="17" spans="1:27" x14ac:dyDescent="0.25">
      <c r="A17" s="7" t="s">
        <v>10</v>
      </c>
      <c r="B17" s="8">
        <f>B12+B13+B14+B15+B16</f>
        <v>36900624</v>
      </c>
      <c r="C17" s="8">
        <f>C12+C13+C14+C15+C16</f>
        <v>38185680</v>
      </c>
      <c r="D17" s="8">
        <f t="shared" ref="D17:M17" si="31">D12+D13+D14+D15+D16</f>
        <v>37348500</v>
      </c>
      <c r="E17" s="8">
        <f t="shared" si="31"/>
        <v>28637388</v>
      </c>
      <c r="F17" s="8">
        <f t="shared" si="31"/>
        <v>29141064</v>
      </c>
      <c r="G17" s="8">
        <f t="shared" si="31"/>
        <v>23169156</v>
      </c>
      <c r="H17" s="8">
        <f t="shared" si="31"/>
        <v>21052164</v>
      </c>
      <c r="I17" s="8">
        <f t="shared" si="31"/>
        <v>21737880</v>
      </c>
      <c r="J17" s="8">
        <f t="shared" si="31"/>
        <v>19227732</v>
      </c>
      <c r="K17" s="8">
        <f>K12+K13+K14+K15+K16</f>
        <v>20159652</v>
      </c>
      <c r="L17" s="8">
        <f>L12+L13+L14+L15+L16</f>
        <v>20570760</v>
      </c>
      <c r="M17" s="8">
        <f t="shared" si="31"/>
        <v>21661224</v>
      </c>
      <c r="N17" s="22">
        <f t="shared" ref="N17:S17" si="32">N12+N13+N14+N15+N16</f>
        <v>21661224</v>
      </c>
      <c r="O17" s="8">
        <f t="shared" si="32"/>
        <v>25040400</v>
      </c>
      <c r="P17" s="8">
        <f t="shared" si="32"/>
        <v>21977940</v>
      </c>
      <c r="Q17" s="8">
        <f t="shared" si="32"/>
        <v>24859860</v>
      </c>
      <c r="R17" s="8">
        <f t="shared" si="32"/>
        <v>23975112</v>
      </c>
      <c r="S17" s="8">
        <f t="shared" si="32"/>
        <v>22269180</v>
      </c>
      <c r="T17" s="8">
        <f t="shared" ref="T17:U17" si="33">T12+T13+T14+T15+T16</f>
        <v>22177500</v>
      </c>
      <c r="U17" s="8">
        <f t="shared" si="33"/>
        <v>23884128</v>
      </c>
      <c r="V17" s="8">
        <f t="shared" ref="V17" si="34">V12+V13+V14+V15+V16</f>
        <v>19625364</v>
      </c>
      <c r="W17" s="8"/>
      <c r="X17" s="8"/>
      <c r="Y17" s="8"/>
      <c r="Z17" s="8"/>
      <c r="AA17" s="22">
        <f>AA12+AA13+AA14+AA15+AA16</f>
        <v>19625364</v>
      </c>
    </row>
    <row r="18" spans="1:27" x14ac:dyDescent="0.25">
      <c r="N18" s="23"/>
      <c r="AA18" s="23"/>
    </row>
    <row r="19" spans="1:27" x14ac:dyDescent="0.25">
      <c r="A19" s="17" t="s">
        <v>30</v>
      </c>
      <c r="B19" s="8">
        <v>170836</v>
      </c>
      <c r="C19" s="8">
        <v>176786</v>
      </c>
      <c r="D19" s="8">
        <v>183081</v>
      </c>
      <c r="E19" s="8">
        <v>159097</v>
      </c>
      <c r="F19" s="8">
        <v>161895</v>
      </c>
      <c r="G19" s="8">
        <v>137912</v>
      </c>
      <c r="H19" s="8">
        <v>116956</v>
      </c>
      <c r="I19" s="8">
        <v>113218</v>
      </c>
      <c r="J19" s="8">
        <v>100144</v>
      </c>
      <c r="K19" s="8">
        <v>98822</v>
      </c>
      <c r="L19" s="8">
        <v>107139</v>
      </c>
      <c r="M19" s="8">
        <v>138854</v>
      </c>
      <c r="N19" s="22">
        <f>M19</f>
        <v>138854</v>
      </c>
      <c r="O19" s="8">
        <v>149050</v>
      </c>
      <c r="P19" s="8">
        <v>122100</v>
      </c>
      <c r="Q19" s="8">
        <v>147975</v>
      </c>
      <c r="R19" s="8">
        <v>142709</v>
      </c>
      <c r="S19" s="8">
        <v>142751</v>
      </c>
      <c r="T19" s="8">
        <v>168011</v>
      </c>
      <c r="U19" s="8">
        <v>165862</v>
      </c>
      <c r="V19" s="8">
        <v>136287</v>
      </c>
      <c r="W19" s="8"/>
      <c r="X19" s="8"/>
      <c r="Y19" s="8"/>
      <c r="Z19" s="8"/>
      <c r="AA19" s="22">
        <f>V19</f>
        <v>136287</v>
      </c>
    </row>
    <row r="20" spans="1:27" x14ac:dyDescent="0.25">
      <c r="A20" s="1" t="s">
        <v>31</v>
      </c>
      <c r="B20" s="18">
        <f>(B7+B8)/B4</f>
        <v>-3.5604529331014045E-2</v>
      </c>
      <c r="C20" s="18">
        <f t="shared" ref="C20:L20" si="35">(C7+C8)/C4</f>
        <v>-1.1877522721566985E-2</v>
      </c>
      <c r="D20" s="18">
        <f t="shared" si="35"/>
        <v>-4.9051581640028409E-2</v>
      </c>
      <c r="E20" s="18">
        <f t="shared" si="35"/>
        <v>-0.24796401461906101</v>
      </c>
      <c r="F20" s="18">
        <f t="shared" si="35"/>
        <v>-1.4884877070492603E-2</v>
      </c>
      <c r="G20" s="18">
        <f t="shared" si="35"/>
        <v>-0.26028136790063672</v>
      </c>
      <c r="H20" s="18">
        <f t="shared" si="35"/>
        <v>-0.11655910124650203</v>
      </c>
      <c r="I20" s="18">
        <f t="shared" si="35"/>
        <v>-1.1846003099728846E-2</v>
      </c>
      <c r="J20" s="18">
        <f t="shared" si="35"/>
        <v>-0.13027010913667755</v>
      </c>
      <c r="K20" s="18">
        <f t="shared" si="35"/>
        <v>-3.247621716383399E-2</v>
      </c>
      <c r="L20" s="18">
        <f t="shared" si="35"/>
        <v>-5.5057498016334805E-2</v>
      </c>
      <c r="M20" s="18">
        <f>(M7+M8)/M4</f>
        <v>-5.9534018188924474E-2</v>
      </c>
      <c r="N20" s="24"/>
      <c r="O20" s="18">
        <f t="shared" ref="O20:V20" si="36">(O7+O8)/O4</f>
        <v>-2.2199299540967769E-2</v>
      </c>
      <c r="P20" s="18">
        <f t="shared" si="36"/>
        <v>-0.13862366415871952</v>
      </c>
      <c r="Q20" s="18">
        <f t="shared" si="36"/>
        <v>-4.3680162927007715E-2</v>
      </c>
      <c r="R20" s="18">
        <f t="shared" si="36"/>
        <v>-4.6794953792981937E-2</v>
      </c>
      <c r="S20" s="18">
        <f t="shared" si="36"/>
        <v>-0.10427513331324584</v>
      </c>
      <c r="T20" s="18">
        <f t="shared" si="36"/>
        <v>-6.0898874588107867E-2</v>
      </c>
      <c r="U20" s="18">
        <f t="shared" si="36"/>
        <v>-3.7102468718295568E-2</v>
      </c>
      <c r="V20" s="18">
        <f t="shared" si="36"/>
        <v>-0.19193918237249441</v>
      </c>
      <c r="W20" s="18"/>
      <c r="X20" s="18"/>
      <c r="Y20" s="18"/>
      <c r="Z20" s="18"/>
      <c r="AA20" s="24"/>
    </row>
    <row r="21" spans="1:27" x14ac:dyDescent="0.2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4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24"/>
    </row>
    <row r="22" spans="1:27" x14ac:dyDescent="0.25">
      <c r="N22" s="23"/>
      <c r="AA22" s="23"/>
    </row>
    <row r="23" spans="1:27" x14ac:dyDescent="0.25">
      <c r="A23" s="2" t="s">
        <v>11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20"/>
    </row>
    <row r="24" spans="1:27" x14ac:dyDescent="0.25">
      <c r="A24" s="1" t="s">
        <v>12</v>
      </c>
      <c r="B24" s="6">
        <v>3075051</v>
      </c>
      <c r="C24" s="6">
        <v>3182139</v>
      </c>
      <c r="D24" s="6">
        <v>3112374</v>
      </c>
      <c r="E24" s="6">
        <v>2386448</v>
      </c>
      <c r="F24" s="6">
        <v>2428422</v>
      </c>
      <c r="G24" s="6">
        <v>1930763</v>
      </c>
      <c r="H24" s="6">
        <v>1754346</v>
      </c>
      <c r="I24" s="6">
        <v>1811489</v>
      </c>
      <c r="J24" s="6">
        <v>1602310</v>
      </c>
      <c r="K24" s="6">
        <v>1679970</v>
      </c>
      <c r="L24" s="6">
        <v>1714230</v>
      </c>
      <c r="M24" s="6">
        <v>1805102</v>
      </c>
      <c r="N24" s="21">
        <f>SUM(B24:M24)</f>
        <v>26482644</v>
      </c>
      <c r="O24" s="6">
        <v>2086699</v>
      </c>
      <c r="P24" s="6">
        <v>1831494</v>
      </c>
      <c r="Q24" s="6">
        <v>2071655</v>
      </c>
      <c r="R24" s="6">
        <v>1997925</v>
      </c>
      <c r="S24" s="6">
        <v>1855764</v>
      </c>
      <c r="T24" s="6">
        <v>1848124</v>
      </c>
      <c r="U24" s="6">
        <v>1990343</v>
      </c>
      <c r="V24" s="6">
        <v>1635446</v>
      </c>
      <c r="W24" s="6"/>
      <c r="X24" s="6"/>
      <c r="Y24" s="6"/>
      <c r="Z24" s="6"/>
      <c r="AA24" s="21">
        <f>SUM(O24:Z24)</f>
        <v>15317450</v>
      </c>
    </row>
    <row r="25" spans="1:27" x14ac:dyDescent="0.25">
      <c r="A25" s="1" t="s">
        <v>13</v>
      </c>
      <c r="B25" s="6">
        <v>2796759</v>
      </c>
      <c r="C25" s="6">
        <v>2894155</v>
      </c>
      <c r="D25" s="6">
        <v>2830704</v>
      </c>
      <c r="E25" s="6">
        <v>2170475</v>
      </c>
      <c r="F25" s="6">
        <v>2208649</v>
      </c>
      <c r="G25" s="6">
        <v>1756029</v>
      </c>
      <c r="H25" s="6">
        <v>1595577</v>
      </c>
      <c r="I25" s="6">
        <v>1647549</v>
      </c>
      <c r="J25" s="6">
        <v>1457301</v>
      </c>
      <c r="K25" s="6">
        <v>1527933</v>
      </c>
      <c r="L25" s="6">
        <v>1559092</v>
      </c>
      <c r="M25" s="6">
        <v>1641740</v>
      </c>
      <c r="N25" s="21">
        <f>SUM(B25:M25)</f>
        <v>24085963</v>
      </c>
      <c r="O25" s="6">
        <v>1897853</v>
      </c>
      <c r="P25" s="6">
        <v>1665744</v>
      </c>
      <c r="Q25" s="6">
        <v>1884170</v>
      </c>
      <c r="R25" s="6">
        <v>1817113</v>
      </c>
      <c r="S25" s="6">
        <v>1687817</v>
      </c>
      <c r="T25" s="6">
        <v>1680869</v>
      </c>
      <c r="U25" s="6">
        <v>1810217</v>
      </c>
      <c r="V25" s="6">
        <v>1487438</v>
      </c>
      <c r="W25" s="6"/>
      <c r="X25" s="6"/>
      <c r="Y25" s="6"/>
      <c r="Z25" s="6"/>
      <c r="AA25" s="21">
        <f>SUM(O25:Z25)</f>
        <v>13931221</v>
      </c>
    </row>
    <row r="26" spans="1:27" x14ac:dyDescent="0.25">
      <c r="A26" s="1" t="s">
        <v>14</v>
      </c>
      <c r="B26" s="6">
        <v>-1259372</v>
      </c>
      <c r="C26" s="6">
        <v>-1260691</v>
      </c>
      <c r="D26" s="6">
        <v>-1428484</v>
      </c>
      <c r="E26" s="6">
        <v>-1089041</v>
      </c>
      <c r="F26" s="6">
        <v>-1075273</v>
      </c>
      <c r="G26" s="6">
        <v>-891662</v>
      </c>
      <c r="H26" s="6">
        <v>-872851</v>
      </c>
      <c r="I26" s="6">
        <v>-783620</v>
      </c>
      <c r="J26" s="6">
        <v>-731506</v>
      </c>
      <c r="K26" s="6">
        <v>-737240</v>
      </c>
      <c r="L26" s="6">
        <v>-710281</v>
      </c>
      <c r="M26" s="6">
        <v>-786704</v>
      </c>
      <c r="N26" s="21">
        <f>SUM(B26:M26)</f>
        <v>-11626725</v>
      </c>
      <c r="O26" s="6">
        <v>-760765</v>
      </c>
      <c r="P26" s="6">
        <v>-868515</v>
      </c>
      <c r="Q26" s="6">
        <v>-1016941</v>
      </c>
      <c r="R26" s="6">
        <v>-893941</v>
      </c>
      <c r="S26" s="6">
        <v>-931418</v>
      </c>
      <c r="T26" s="6">
        <v>-834450</v>
      </c>
      <c r="U26" s="6">
        <v>-922225</v>
      </c>
      <c r="V26" s="6">
        <v>-702237</v>
      </c>
      <c r="W26" s="6"/>
      <c r="X26" s="6"/>
      <c r="Y26" s="6"/>
      <c r="Z26" s="6"/>
      <c r="AA26" s="21">
        <f>SUM(O26:Z26)</f>
        <v>-6930492</v>
      </c>
    </row>
    <row r="27" spans="1:27" x14ac:dyDescent="0.25">
      <c r="A27" s="7" t="s">
        <v>34</v>
      </c>
      <c r="B27" s="9">
        <f>(B26/B25)+100%</f>
        <v>0.54970306701435478</v>
      </c>
      <c r="C27" s="9">
        <f>(C26/C25)+100%</f>
        <v>0.56440100823901962</v>
      </c>
      <c r="D27" s="9">
        <f t="shared" ref="D27:M27" si="37">(D26/D25)+100%</f>
        <v>0.49536087135920959</v>
      </c>
      <c r="E27" s="9">
        <f t="shared" si="37"/>
        <v>0.49824761860882982</v>
      </c>
      <c r="F27" s="9">
        <f t="shared" si="37"/>
        <v>0.51315351601816306</v>
      </c>
      <c r="G27" s="9">
        <f t="shared" si="37"/>
        <v>0.49222820352055685</v>
      </c>
      <c r="H27" s="9">
        <f t="shared" si="37"/>
        <v>0.45295588993824809</v>
      </c>
      <c r="I27" s="9">
        <f t="shared" si="37"/>
        <v>0.52437226449714092</v>
      </c>
      <c r="J27" s="9">
        <f t="shared" si="37"/>
        <v>0.49804055579458195</v>
      </c>
      <c r="K27" s="9">
        <f t="shared" si="37"/>
        <v>0.51749193191062703</v>
      </c>
      <c r="L27" s="9">
        <f t="shared" si="37"/>
        <v>0.54442649952664757</v>
      </c>
      <c r="M27" s="9">
        <f t="shared" si="37"/>
        <v>0.52081084702815306</v>
      </c>
      <c r="N27" s="25">
        <f>(N26/N25)+100%</f>
        <v>0.51728211988036343</v>
      </c>
      <c r="O27" s="9">
        <f>(O26/O25)+100%</f>
        <v>0.59914440159485483</v>
      </c>
      <c r="P27" s="9">
        <f t="shared" ref="P27:V27" si="38">(P26/P25)+100%</f>
        <v>0.47860235426332021</v>
      </c>
      <c r="Q27" s="9">
        <f t="shared" si="38"/>
        <v>0.46027110080300615</v>
      </c>
      <c r="R27" s="9">
        <f t="shared" si="38"/>
        <v>0.5080432532264092</v>
      </c>
      <c r="S27" s="9">
        <f t="shared" si="38"/>
        <v>0.44815225821282756</v>
      </c>
      <c r="T27" s="9">
        <f t="shared" si="38"/>
        <v>0.50356036074197341</v>
      </c>
      <c r="U27" s="9">
        <f t="shared" si="38"/>
        <v>0.49054450378048597</v>
      </c>
      <c r="V27" s="9">
        <f t="shared" si="38"/>
        <v>0.52788822122333845</v>
      </c>
      <c r="W27" s="9"/>
      <c r="X27" s="9"/>
      <c r="Y27" s="9"/>
      <c r="Z27" s="9"/>
      <c r="AA27" s="25">
        <f>(AA26/AA25)+100%</f>
        <v>0.50252084867507307</v>
      </c>
    </row>
    <row r="28" spans="1:27" x14ac:dyDescent="0.25">
      <c r="A28" s="1" t="s">
        <v>15</v>
      </c>
      <c r="B28" s="6">
        <v>-495595</v>
      </c>
      <c r="C28" s="6">
        <v>-583789</v>
      </c>
      <c r="D28" s="6">
        <v>-539475</v>
      </c>
      <c r="E28" s="6">
        <v>-531687</v>
      </c>
      <c r="F28" s="6">
        <v>-525110</v>
      </c>
      <c r="G28" s="6">
        <v>-510376</v>
      </c>
      <c r="H28" s="6">
        <v>-470425</v>
      </c>
      <c r="I28" s="6">
        <v>-484468</v>
      </c>
      <c r="J28" s="6">
        <v>-373490</v>
      </c>
      <c r="K28" s="6">
        <v>-410305</v>
      </c>
      <c r="L28" s="6">
        <v>-408009</v>
      </c>
      <c r="M28" s="6">
        <v>-406898</v>
      </c>
      <c r="N28" s="21">
        <f>SUM(B28:M28)</f>
        <v>-5739627</v>
      </c>
      <c r="O28" s="6">
        <v>-318844</v>
      </c>
      <c r="P28" s="6">
        <v>-297678</v>
      </c>
      <c r="Q28" s="6">
        <v>-380596</v>
      </c>
      <c r="R28" s="6">
        <v>-432263</v>
      </c>
      <c r="S28" s="6">
        <v>-328665</v>
      </c>
      <c r="T28" s="6">
        <v>-341449</v>
      </c>
      <c r="U28" s="6">
        <v>-388116</v>
      </c>
      <c r="V28" s="6">
        <v>-404917</v>
      </c>
      <c r="W28" s="6"/>
      <c r="X28" s="6"/>
      <c r="Y28" s="6"/>
      <c r="Z28" s="6"/>
      <c r="AA28" s="21">
        <f>SUM(O28:Z28)</f>
        <v>-2892528</v>
      </c>
    </row>
    <row r="29" spans="1:27" x14ac:dyDescent="0.25">
      <c r="A29" s="7" t="s">
        <v>35</v>
      </c>
      <c r="B29" s="10">
        <f>((B26+B28)/B25)+100%</f>
        <v>0.37249973987747964</v>
      </c>
      <c r="C29" s="10">
        <f t="shared" ref="C29:L29" si="39">((C26+C28)/C25)+100%</f>
        <v>0.36268790026795383</v>
      </c>
      <c r="D29" s="10">
        <f t="shared" si="39"/>
        <v>0.30478107212905337</v>
      </c>
      <c r="E29" s="10">
        <f t="shared" si="39"/>
        <v>0.25328418894481619</v>
      </c>
      <c r="F29" s="10">
        <f t="shared" si="39"/>
        <v>0.2754018406727371</v>
      </c>
      <c r="G29" s="10">
        <f t="shared" si="39"/>
        <v>0.20158607858981825</v>
      </c>
      <c r="H29" s="10">
        <f t="shared" si="39"/>
        <v>0.1581252424671451</v>
      </c>
      <c r="I29" s="10">
        <f t="shared" si="39"/>
        <v>0.2303184912861469</v>
      </c>
      <c r="J29" s="10">
        <f t="shared" si="39"/>
        <v>0.24175170400624169</v>
      </c>
      <c r="K29" s="10">
        <f t="shared" si="39"/>
        <v>0.2489559424398845</v>
      </c>
      <c r="L29" s="10">
        <f t="shared" si="39"/>
        <v>0.2827299479440597</v>
      </c>
      <c r="M29" s="10">
        <f>((M26+M28)/M25)+100%</f>
        <v>0.27296526855653147</v>
      </c>
      <c r="N29" s="26">
        <f>((N26+N28)/N25)+100%</f>
        <v>0.27898452721196987</v>
      </c>
      <c r="O29" s="10">
        <f>((O26+O28)/O25)+100%</f>
        <v>0.43114192721986366</v>
      </c>
      <c r="P29" s="10">
        <f t="shared" ref="P29:V29" si="40">((P26+P28)/P25)+100%</f>
        <v>0.29989662277036566</v>
      </c>
      <c r="Q29" s="10">
        <f t="shared" si="40"/>
        <v>0.25827446567984846</v>
      </c>
      <c r="R29" s="10">
        <f t="shared" si="40"/>
        <v>0.27015876282872886</v>
      </c>
      <c r="S29" s="10">
        <f t="shared" si="40"/>
        <v>0.25342439375832804</v>
      </c>
      <c r="T29" s="10">
        <f t="shared" si="40"/>
        <v>0.3004219841046506</v>
      </c>
      <c r="U29" s="10">
        <f t="shared" si="40"/>
        <v>0.27614147917072929</v>
      </c>
      <c r="V29" s="10">
        <f t="shared" si="40"/>
        <v>0.25566376548131753</v>
      </c>
      <c r="W29" s="10"/>
      <c r="X29" s="10"/>
      <c r="Y29" s="10"/>
      <c r="Z29" s="10"/>
      <c r="AA29" s="26">
        <f>((AA26+AA28)/AA25)+100%</f>
        <v>0.29489166814595791</v>
      </c>
    </row>
    <row r="30" spans="1:27" x14ac:dyDescent="0.25">
      <c r="A30" s="1" t="s">
        <v>16</v>
      </c>
      <c r="B30" s="6">
        <v>-865079</v>
      </c>
      <c r="C30" s="6">
        <v>-886314</v>
      </c>
      <c r="D30" s="6">
        <v>-1035311</v>
      </c>
      <c r="E30" s="6">
        <v>-973729</v>
      </c>
      <c r="F30" s="6">
        <v>-1047088</v>
      </c>
      <c r="G30" s="6">
        <v>-893275</v>
      </c>
      <c r="H30" s="6">
        <v>-986370</v>
      </c>
      <c r="I30" s="6">
        <v>-943682</v>
      </c>
      <c r="J30" s="6">
        <v>-2365071</v>
      </c>
      <c r="K30" s="6">
        <v>-1438439</v>
      </c>
      <c r="L30" s="6">
        <v>-1111362</v>
      </c>
      <c r="M30" s="6">
        <v>-1320184</v>
      </c>
      <c r="N30" s="21">
        <f>SUM(B30:M30)</f>
        <v>-13865904</v>
      </c>
      <c r="O30" s="6">
        <v>-1354746</v>
      </c>
      <c r="P30" s="6">
        <v>-1338181</v>
      </c>
      <c r="Q30" s="6">
        <v>-1572925</v>
      </c>
      <c r="R30" s="6">
        <v>-1433529</v>
      </c>
      <c r="S30" s="6">
        <v>-1538551</v>
      </c>
      <c r="T30" s="6">
        <v>-1531120</v>
      </c>
      <c r="U30" s="6">
        <v>-1536063</v>
      </c>
      <c r="V30" s="6">
        <v>-1551053</v>
      </c>
      <c r="W30" s="6"/>
      <c r="X30" s="6"/>
      <c r="Y30" s="6"/>
      <c r="Z30" s="6"/>
      <c r="AA30" s="21">
        <f>SUM(O30:Z30)</f>
        <v>-11856168</v>
      </c>
    </row>
    <row r="31" spans="1:27" x14ac:dyDescent="0.25">
      <c r="A31" s="7" t="s">
        <v>17</v>
      </c>
      <c r="B31" s="8">
        <f>B25+B26+B28+B30</f>
        <v>176713</v>
      </c>
      <c r="C31" s="8">
        <f t="shared" ref="C31:M31" si="41">C25+C26+C28+C30</f>
        <v>163361</v>
      </c>
      <c r="D31" s="8">
        <f t="shared" si="41"/>
        <v>-172566</v>
      </c>
      <c r="E31" s="8">
        <f t="shared" si="41"/>
        <v>-423982</v>
      </c>
      <c r="F31" s="8">
        <f t="shared" si="41"/>
        <v>-438822</v>
      </c>
      <c r="G31" s="8">
        <f t="shared" si="41"/>
        <v>-539284</v>
      </c>
      <c r="H31" s="8">
        <f t="shared" si="41"/>
        <v>-734069</v>
      </c>
      <c r="I31" s="8">
        <f t="shared" si="41"/>
        <v>-564221</v>
      </c>
      <c r="J31" s="8">
        <f t="shared" si="41"/>
        <v>-2012766</v>
      </c>
      <c r="K31" s="8">
        <f t="shared" si="41"/>
        <v>-1058051</v>
      </c>
      <c r="L31" s="8">
        <f t="shared" si="41"/>
        <v>-670560</v>
      </c>
      <c r="M31" s="8">
        <f t="shared" si="41"/>
        <v>-872046</v>
      </c>
      <c r="N31" s="22">
        <f>N25+N26+N28+N30</f>
        <v>-7146293</v>
      </c>
      <c r="O31" s="8">
        <f>O25+O26+O28+O30</f>
        <v>-536502</v>
      </c>
      <c r="P31" s="8">
        <f t="shared" ref="P31:V31" si="42">P25+P26+P28+P30</f>
        <v>-838630</v>
      </c>
      <c r="Q31" s="8">
        <f t="shared" si="42"/>
        <v>-1086292</v>
      </c>
      <c r="R31" s="8">
        <f t="shared" si="42"/>
        <v>-942620</v>
      </c>
      <c r="S31" s="8">
        <f t="shared" si="42"/>
        <v>-1110817</v>
      </c>
      <c r="T31" s="8">
        <f t="shared" si="42"/>
        <v>-1026150</v>
      </c>
      <c r="U31" s="8">
        <f t="shared" si="42"/>
        <v>-1036187</v>
      </c>
      <c r="V31" s="8">
        <f t="shared" si="42"/>
        <v>-1170769</v>
      </c>
      <c r="W31" s="8"/>
      <c r="X31" s="8"/>
      <c r="Y31" s="8"/>
      <c r="Z31" s="8"/>
      <c r="AA31" s="22">
        <f>AA25+AA26+AA28+AA30</f>
        <v>-7747967</v>
      </c>
    </row>
    <row r="32" spans="1:27" x14ac:dyDescent="0.25">
      <c r="A32" s="11" t="s">
        <v>18</v>
      </c>
      <c r="B32" s="12">
        <v>93905</v>
      </c>
      <c r="C32" s="12">
        <v>87644</v>
      </c>
      <c r="D32" s="12">
        <v>-216942</v>
      </c>
      <c r="E32" s="12">
        <v>-455747</v>
      </c>
      <c r="F32" s="12">
        <v>-514341</v>
      </c>
      <c r="G32" s="12">
        <v>-576318</v>
      </c>
      <c r="H32" s="12">
        <v>-771139</v>
      </c>
      <c r="I32" s="12">
        <v>-598171</v>
      </c>
      <c r="J32" s="12">
        <v>-1947359</v>
      </c>
      <c r="K32" s="12">
        <v>-867822</v>
      </c>
      <c r="L32" s="12">
        <v>-533058</v>
      </c>
      <c r="M32" s="12">
        <v>-540911</v>
      </c>
      <c r="N32" s="27">
        <f>SUM(B32:M32)</f>
        <v>-6840259</v>
      </c>
      <c r="O32" s="12">
        <v>-368123</v>
      </c>
      <c r="P32" s="12">
        <v>-713919</v>
      </c>
      <c r="Q32" s="12">
        <v>-1128272</v>
      </c>
      <c r="R32" s="12">
        <v>-796248</v>
      </c>
      <c r="S32" s="12">
        <v>-975551</v>
      </c>
      <c r="T32" s="12">
        <v>-928200</v>
      </c>
      <c r="U32" s="12">
        <v>-897434</v>
      </c>
      <c r="V32" s="12">
        <v>-1052782</v>
      </c>
      <c r="W32" s="12"/>
      <c r="X32" s="12"/>
      <c r="Y32" s="12"/>
      <c r="Z32" s="12"/>
      <c r="AA32" s="27">
        <f>SUM(O32:Z32)</f>
        <v>-6860529</v>
      </c>
    </row>
    <row r="33" spans="1:27" x14ac:dyDescent="0.25">
      <c r="N33" s="23"/>
      <c r="AA33" s="23"/>
    </row>
    <row r="34" spans="1:27" x14ac:dyDescent="0.25">
      <c r="N34" s="23"/>
      <c r="AA34" s="23"/>
    </row>
    <row r="35" spans="1:27" x14ac:dyDescent="0.25">
      <c r="A35" s="2" t="s">
        <v>19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2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20"/>
    </row>
    <row r="36" spans="1:27" x14ac:dyDescent="0.25">
      <c r="A36" s="1" t="s">
        <v>20</v>
      </c>
      <c r="B36" s="6">
        <v>2798391</v>
      </c>
      <c r="C36" s="6">
        <f>B45</f>
        <v>2918720.4000000004</v>
      </c>
      <c r="D36" s="6">
        <f t="shared" ref="D36:M36" si="43">C45</f>
        <v>2871874.4000000008</v>
      </c>
      <c r="E36" s="6">
        <f t="shared" si="43"/>
        <v>2451782.5200000009</v>
      </c>
      <c r="F36" s="6">
        <f t="shared" si="43"/>
        <v>1415740.6300000011</v>
      </c>
      <c r="G36" s="6">
        <f t="shared" si="43"/>
        <v>2679335.8400000008</v>
      </c>
      <c r="H36" s="6">
        <f t="shared" si="43"/>
        <v>4862431.0000000009</v>
      </c>
      <c r="I36" s="6">
        <f t="shared" si="43"/>
        <v>3894206.830000001</v>
      </c>
      <c r="J36" s="6">
        <f t="shared" si="43"/>
        <v>4549337.5600000005</v>
      </c>
      <c r="K36" s="6">
        <f t="shared" si="43"/>
        <v>21121885.350000001</v>
      </c>
      <c r="L36" s="6">
        <f t="shared" si="43"/>
        <v>20192501.330000002</v>
      </c>
      <c r="M36" s="6">
        <f t="shared" si="43"/>
        <v>18995678.600000001</v>
      </c>
      <c r="N36" s="21">
        <f>B36</f>
        <v>2798391</v>
      </c>
      <c r="O36" s="6">
        <f>M45</f>
        <v>18715270.470000003</v>
      </c>
      <c r="P36" s="6">
        <f t="shared" ref="P36:V36" si="44">O45</f>
        <v>17160380.470000003</v>
      </c>
      <c r="Q36" s="6">
        <f t="shared" si="44"/>
        <v>15956424.470000003</v>
      </c>
      <c r="R36" s="6">
        <f t="shared" si="44"/>
        <v>16161947.470000003</v>
      </c>
      <c r="S36" s="6">
        <f t="shared" si="44"/>
        <v>15457348.470000003</v>
      </c>
      <c r="T36" s="6">
        <f t="shared" si="44"/>
        <v>14555669.470000003</v>
      </c>
      <c r="U36" s="6">
        <f t="shared" si="44"/>
        <v>14678833.470000003</v>
      </c>
      <c r="V36" s="6">
        <f t="shared" si="44"/>
        <v>13992281.470000003</v>
      </c>
      <c r="W36" s="6"/>
      <c r="X36" s="6"/>
      <c r="Y36" s="6"/>
      <c r="Z36" s="6"/>
      <c r="AA36" s="21">
        <f>O36</f>
        <v>18715270.470000003</v>
      </c>
    </row>
    <row r="37" spans="1:27" x14ac:dyDescent="0.25">
      <c r="A37" s="1" t="s">
        <v>21</v>
      </c>
      <c r="B37" s="6">
        <v>2829568.83</v>
      </c>
      <c r="C37" s="6">
        <v>2934205.22</v>
      </c>
      <c r="D37" s="6">
        <v>2519434.19</v>
      </c>
      <c r="E37" s="6">
        <v>1768293.92</v>
      </c>
      <c r="F37" s="6">
        <v>1276886.98</v>
      </c>
      <c r="G37" s="6">
        <v>1848323.32</v>
      </c>
      <c r="H37" s="6">
        <v>1531268.24</v>
      </c>
      <c r="I37" s="6">
        <v>1641967.2</v>
      </c>
      <c r="J37" s="6">
        <v>1920434.77</v>
      </c>
      <c r="K37" s="6">
        <v>1413421.8</v>
      </c>
      <c r="L37" s="6">
        <v>978634.49</v>
      </c>
      <c r="M37" s="6">
        <v>2375888.83</v>
      </c>
      <c r="N37" s="21">
        <f>SUM(B37:M37)</f>
        <v>23038327.789999999</v>
      </c>
      <c r="O37" s="30">
        <v>939804</v>
      </c>
      <c r="P37" s="6">
        <v>999036</v>
      </c>
      <c r="Q37" s="6">
        <v>2508780</v>
      </c>
      <c r="R37" s="6">
        <v>2048501</v>
      </c>
      <c r="S37" s="6">
        <v>1453884</v>
      </c>
      <c r="T37" s="6">
        <v>2572305</v>
      </c>
      <c r="U37" s="6">
        <v>1645081</v>
      </c>
      <c r="V37" s="6">
        <v>2044030</v>
      </c>
      <c r="W37" s="6"/>
      <c r="X37" s="6"/>
      <c r="Y37" s="6"/>
      <c r="Z37" s="6"/>
      <c r="AA37" s="21">
        <f>SUM(O37:Z37)</f>
        <v>14211421</v>
      </c>
    </row>
    <row r="38" spans="1:27" x14ac:dyDescent="0.25">
      <c r="A38" s="1" t="s">
        <v>22</v>
      </c>
      <c r="B38" s="6">
        <v>-2709147.11</v>
      </c>
      <c r="C38" s="6">
        <v>-2981093.36</v>
      </c>
      <c r="D38" s="6">
        <v>-2934134.34</v>
      </c>
      <c r="E38" s="6">
        <v>-2799877.82</v>
      </c>
      <c r="F38" s="6">
        <v>-2779408.08</v>
      </c>
      <c r="G38" s="6">
        <v>-2498793.56</v>
      </c>
      <c r="H38" s="6">
        <v>-2495371.39</v>
      </c>
      <c r="I38" s="6">
        <v>-2196339.5</v>
      </c>
      <c r="J38" s="6">
        <v>-2333487.88</v>
      </c>
      <c r="K38" s="6">
        <v>-2557235.39</v>
      </c>
      <c r="L38" s="6">
        <v>-2346094.5</v>
      </c>
      <c r="M38" s="6">
        <v>-2377463.27</v>
      </c>
      <c r="N38" s="21">
        <f>SUM(B38:M38)</f>
        <v>-31008446.199999999</v>
      </c>
      <c r="O38" s="6">
        <v>-2669911</v>
      </c>
      <c r="P38" s="6">
        <v>-2328673</v>
      </c>
      <c r="Q38" s="6">
        <v>-2268669</v>
      </c>
      <c r="R38" s="6">
        <v>-2903218</v>
      </c>
      <c r="S38" s="6">
        <v>-2492162</v>
      </c>
      <c r="T38" s="6">
        <v>-2550668</v>
      </c>
      <c r="U38" s="6">
        <v>-2474885</v>
      </c>
      <c r="V38" s="6">
        <v>-2393736</v>
      </c>
      <c r="W38" s="6"/>
      <c r="X38" s="6"/>
      <c r="Y38" s="6"/>
      <c r="Z38" s="6"/>
      <c r="AA38" s="21">
        <f>SUM(O38:Z38)</f>
        <v>-20081922</v>
      </c>
    </row>
    <row r="39" spans="1:27" x14ac:dyDescent="0.25">
      <c r="A39" s="7" t="s">
        <v>23</v>
      </c>
      <c r="B39" s="8">
        <f>B37+B38</f>
        <v>120421.7200000002</v>
      </c>
      <c r="C39" s="8">
        <f t="shared" ref="C39:M39" si="45">C37+C38</f>
        <v>-46888.139999999665</v>
      </c>
      <c r="D39" s="8">
        <f t="shared" si="45"/>
        <v>-414700.14999999991</v>
      </c>
      <c r="E39" s="8">
        <f t="shared" si="45"/>
        <v>-1031583.8999999999</v>
      </c>
      <c r="F39" s="8">
        <f t="shared" si="45"/>
        <v>-1502521.1</v>
      </c>
      <c r="G39" s="8">
        <f t="shared" si="45"/>
        <v>-650470.24</v>
      </c>
      <c r="H39" s="8">
        <f t="shared" si="45"/>
        <v>-964103.15000000014</v>
      </c>
      <c r="I39" s="8">
        <f t="shared" si="45"/>
        <v>-554372.30000000005</v>
      </c>
      <c r="J39" s="8">
        <f t="shared" si="45"/>
        <v>-413053.10999999987</v>
      </c>
      <c r="K39" s="8">
        <f t="shared" si="45"/>
        <v>-1143813.5900000001</v>
      </c>
      <c r="L39" s="8">
        <f t="shared" si="45"/>
        <v>-1367460.01</v>
      </c>
      <c r="M39" s="8">
        <f t="shared" si="45"/>
        <v>-1574.4399999999441</v>
      </c>
      <c r="N39" s="22">
        <f t="shared" ref="N39:V39" si="46">N37+N38</f>
        <v>-7970118.4100000001</v>
      </c>
      <c r="O39" s="8">
        <f t="shared" si="46"/>
        <v>-1730107</v>
      </c>
      <c r="P39" s="8">
        <f t="shared" si="46"/>
        <v>-1329637</v>
      </c>
      <c r="Q39" s="8">
        <f t="shared" si="46"/>
        <v>240111</v>
      </c>
      <c r="R39" s="8">
        <f t="shared" si="46"/>
        <v>-854717</v>
      </c>
      <c r="S39" s="8">
        <f t="shared" si="46"/>
        <v>-1038278</v>
      </c>
      <c r="T39" s="8">
        <f t="shared" si="46"/>
        <v>21637</v>
      </c>
      <c r="U39" s="8">
        <f t="shared" si="46"/>
        <v>-829804</v>
      </c>
      <c r="V39" s="8">
        <f t="shared" si="46"/>
        <v>-349706</v>
      </c>
      <c r="W39" s="8"/>
      <c r="X39" s="8"/>
      <c r="Y39" s="8"/>
      <c r="Z39" s="8"/>
      <c r="AA39" s="22">
        <f>AA37+AA38</f>
        <v>-5870501</v>
      </c>
    </row>
    <row r="40" spans="1:27" x14ac:dyDescent="0.25">
      <c r="A40" s="1" t="s">
        <v>24</v>
      </c>
      <c r="B40" s="6">
        <v>-92.32</v>
      </c>
      <c r="C40" s="6">
        <v>42.14</v>
      </c>
      <c r="D40" s="6">
        <v>-5391.73</v>
      </c>
      <c r="E40" s="6">
        <v>-4457.99</v>
      </c>
      <c r="F40" s="6">
        <v>-35283.69</v>
      </c>
      <c r="G40" s="6">
        <v>-4084.6</v>
      </c>
      <c r="H40" s="6">
        <v>-4121.0200000000004</v>
      </c>
      <c r="I40" s="6">
        <v>-496.97</v>
      </c>
      <c r="J40" s="6">
        <v>109727.03</v>
      </c>
      <c r="K40" s="6">
        <v>223229.57</v>
      </c>
      <c r="L40" s="6">
        <v>170637.28</v>
      </c>
      <c r="M40" s="6">
        <v>189505.06</v>
      </c>
      <c r="N40" s="21">
        <f>SUM(B40:M40)</f>
        <v>639212.76</v>
      </c>
      <c r="O40" s="6">
        <v>175217</v>
      </c>
      <c r="P40" s="6">
        <v>125681</v>
      </c>
      <c r="Q40" s="6">
        <v>-34588</v>
      </c>
      <c r="R40" s="6">
        <v>150118</v>
      </c>
      <c r="S40" s="6">
        <v>136599</v>
      </c>
      <c r="T40" s="6">
        <v>101527</v>
      </c>
      <c r="U40" s="6">
        <v>143252</v>
      </c>
      <c r="V40" s="6">
        <v>118643</v>
      </c>
      <c r="W40" s="6"/>
      <c r="X40" s="6"/>
      <c r="Y40" s="6"/>
      <c r="Z40" s="6"/>
      <c r="AA40" s="21">
        <f>SUM(O40:Z40)</f>
        <v>916449</v>
      </c>
    </row>
    <row r="41" spans="1:27" x14ac:dyDescent="0.25">
      <c r="A41" s="1" t="s">
        <v>27</v>
      </c>
      <c r="B41" s="6"/>
      <c r="C41" s="6"/>
      <c r="D41" s="6"/>
      <c r="E41" s="6"/>
      <c r="F41" s="6">
        <v>2801400</v>
      </c>
      <c r="G41" s="6">
        <v>2837650</v>
      </c>
      <c r="H41" s="6"/>
      <c r="I41" s="6"/>
      <c r="J41" s="6">
        <v>16883010.120000001</v>
      </c>
      <c r="K41" s="6"/>
      <c r="L41" s="6"/>
      <c r="M41" s="6"/>
      <c r="N41" s="21">
        <f>SUM(B41:M41)</f>
        <v>22522060.120000001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21">
        <f>SUM(O41:Z41)</f>
        <v>0</v>
      </c>
    </row>
    <row r="42" spans="1:27" x14ac:dyDescent="0.25">
      <c r="A42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-468339</v>
      </c>
      <c r="N42" s="21">
        <f>SUM(B42:M42)</f>
        <v>-468339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21">
        <f>SUM(O42:Z42)</f>
        <v>0</v>
      </c>
    </row>
    <row r="43" spans="1:27" x14ac:dyDescent="0.25">
      <c r="A43" s="1" t="s">
        <v>28</v>
      </c>
      <c r="B43" s="6"/>
      <c r="C43" s="6"/>
      <c r="D43" s="6"/>
      <c r="E43" s="6"/>
      <c r="F43" s="6"/>
      <c r="G43" s="6"/>
      <c r="H43" s="6"/>
      <c r="I43" s="3">
        <v>1210000</v>
      </c>
      <c r="J43" s="6">
        <v>1202863.75</v>
      </c>
      <c r="K43" s="6">
        <v>1194063.75</v>
      </c>
      <c r="L43" s="6">
        <v>1194063.75</v>
      </c>
      <c r="M43" s="6">
        <v>725725</v>
      </c>
      <c r="N43" s="21">
        <f>M43</f>
        <v>725725</v>
      </c>
      <c r="O43" s="6"/>
      <c r="P43" s="6"/>
      <c r="Q43" s="6"/>
      <c r="R43" s="6"/>
      <c r="S43" s="6"/>
      <c r="T43" s="6"/>
      <c r="U43" s="6"/>
      <c r="V43" s="3"/>
      <c r="W43" s="6"/>
      <c r="X43" s="6"/>
      <c r="Y43" s="6"/>
      <c r="Z43" s="6"/>
      <c r="AA43" s="21">
        <f>Z43</f>
        <v>0</v>
      </c>
    </row>
    <row r="44" spans="1:27" x14ac:dyDescent="0.25">
      <c r="A44" s="7" t="s">
        <v>25</v>
      </c>
      <c r="B44" s="8">
        <f t="shared" ref="B44:I44" si="47">B39+B40+B41+B43</f>
        <v>120329.4000000002</v>
      </c>
      <c r="C44" s="8">
        <f t="shared" si="47"/>
        <v>-46845.999999999665</v>
      </c>
      <c r="D44" s="8">
        <f t="shared" si="47"/>
        <v>-420091.87999999989</v>
      </c>
      <c r="E44" s="8">
        <f t="shared" si="47"/>
        <v>-1036041.8899999999</v>
      </c>
      <c r="F44" s="8">
        <f t="shared" si="47"/>
        <v>1263595.21</v>
      </c>
      <c r="G44" s="8">
        <f t="shared" si="47"/>
        <v>2183095.16</v>
      </c>
      <c r="H44" s="8">
        <f t="shared" si="47"/>
        <v>-968224.17000000016</v>
      </c>
      <c r="I44" s="8">
        <f t="shared" si="47"/>
        <v>655130.73</v>
      </c>
      <c r="J44" s="8">
        <f>J39+J40+J41+(J43-I43)</f>
        <v>16572547.790000001</v>
      </c>
      <c r="K44" s="8">
        <f t="shared" ref="K44:L44" si="48">K39+K40+K41+(K43-J43)</f>
        <v>-929384.02</v>
      </c>
      <c r="L44" s="8">
        <f t="shared" si="48"/>
        <v>-1196822.73</v>
      </c>
      <c r="M44" s="8">
        <f>M39+M40+M41+(M43-L43)</f>
        <v>-280408.12999999995</v>
      </c>
      <c r="N44" s="22">
        <f t="shared" ref="N44:T44" si="49">N39+N40+N41+N43</f>
        <v>15916879.470000001</v>
      </c>
      <c r="O44" s="8">
        <f t="shared" si="49"/>
        <v>-1554890</v>
      </c>
      <c r="P44" s="8">
        <f t="shared" si="49"/>
        <v>-1203956</v>
      </c>
      <c r="Q44" s="8">
        <f t="shared" si="49"/>
        <v>205523</v>
      </c>
      <c r="R44" s="8">
        <f t="shared" si="49"/>
        <v>-704599</v>
      </c>
      <c r="S44" s="8">
        <f t="shared" si="49"/>
        <v>-901679</v>
      </c>
      <c r="T44" s="8">
        <f t="shared" si="49"/>
        <v>123164</v>
      </c>
      <c r="U44" s="8">
        <f t="shared" ref="U44:V44" si="50">U39+U40+U41+U43</f>
        <v>-686552</v>
      </c>
      <c r="V44" s="8">
        <f>V39+V40+V41+V43</f>
        <v>-231063</v>
      </c>
      <c r="W44" s="8"/>
      <c r="X44" s="8"/>
      <c r="Y44" s="8"/>
      <c r="Z44" s="8"/>
      <c r="AA44" s="22">
        <f>AA39+AA40+AA41+AA43</f>
        <v>-4954052</v>
      </c>
    </row>
    <row r="45" spans="1:27" x14ac:dyDescent="0.25">
      <c r="A45" s="7" t="s">
        <v>26</v>
      </c>
      <c r="B45" s="8">
        <f t="shared" ref="B45:N45" si="51">B36+B44</f>
        <v>2918720.4000000004</v>
      </c>
      <c r="C45" s="8">
        <f t="shared" si="51"/>
        <v>2871874.4000000008</v>
      </c>
      <c r="D45" s="8">
        <f t="shared" si="51"/>
        <v>2451782.5200000009</v>
      </c>
      <c r="E45" s="8">
        <f t="shared" si="51"/>
        <v>1415740.6300000011</v>
      </c>
      <c r="F45" s="8">
        <f t="shared" si="51"/>
        <v>2679335.8400000008</v>
      </c>
      <c r="G45" s="8">
        <f t="shared" si="51"/>
        <v>4862431.0000000009</v>
      </c>
      <c r="H45" s="8">
        <f t="shared" si="51"/>
        <v>3894206.830000001</v>
      </c>
      <c r="I45" s="8">
        <f t="shared" si="51"/>
        <v>4549337.5600000005</v>
      </c>
      <c r="J45" s="8">
        <f t="shared" si="51"/>
        <v>21121885.350000001</v>
      </c>
      <c r="K45" s="8">
        <f t="shared" si="51"/>
        <v>20192501.330000002</v>
      </c>
      <c r="L45" s="8">
        <f t="shared" si="51"/>
        <v>18995678.600000001</v>
      </c>
      <c r="M45" s="8">
        <f t="shared" si="51"/>
        <v>18715270.470000003</v>
      </c>
      <c r="N45" s="22">
        <f t="shared" si="51"/>
        <v>18715270.469999999</v>
      </c>
      <c r="O45" s="8">
        <f t="shared" ref="O45:U45" si="52">O36+O44</f>
        <v>17160380.470000003</v>
      </c>
      <c r="P45" s="8">
        <f t="shared" si="52"/>
        <v>15956424.470000003</v>
      </c>
      <c r="Q45" s="8">
        <f t="shared" si="52"/>
        <v>16161947.470000003</v>
      </c>
      <c r="R45" s="8">
        <f t="shared" si="52"/>
        <v>15457348.470000003</v>
      </c>
      <c r="S45" s="8">
        <f t="shared" si="52"/>
        <v>14555669.470000003</v>
      </c>
      <c r="T45" s="8">
        <f t="shared" si="52"/>
        <v>14678833.470000003</v>
      </c>
      <c r="U45" s="8">
        <f t="shared" si="52"/>
        <v>13992281.470000003</v>
      </c>
      <c r="V45" s="8">
        <f t="shared" ref="V45" si="53">V36+V44</f>
        <v>13761218.470000003</v>
      </c>
      <c r="W45" s="8"/>
      <c r="X45" s="8"/>
      <c r="Y45" s="8"/>
      <c r="Z45" s="8"/>
      <c r="AA45" s="22">
        <f>AA36+AA44</f>
        <v>13761218.470000003</v>
      </c>
    </row>
    <row r="46" spans="1:27" x14ac:dyDescent="0.25">
      <c r="A46" s="1" t="s">
        <v>29</v>
      </c>
      <c r="B46" s="15"/>
      <c r="C46" s="15"/>
      <c r="D46" s="15"/>
      <c r="E46" s="16">
        <f>-E45/(AVERAGE(C39:E39))</f>
        <v>2.844428739327113</v>
      </c>
      <c r="F46" s="16">
        <f>-F45/(AVERAGE(D39:F39))</f>
        <v>2.7258523744778467</v>
      </c>
      <c r="G46" s="16">
        <f t="shared" ref="G46:K46" si="54">-G45/(AVERAGE(E39:G39))</f>
        <v>4.5806086842526605</v>
      </c>
      <c r="H46" s="16">
        <f t="shared" si="54"/>
        <v>3.7479199066564077</v>
      </c>
      <c r="I46" s="16">
        <f>-I45/(AVERAGE(G39:I39))</f>
        <v>6.2924640035592585</v>
      </c>
      <c r="J46" s="16">
        <f t="shared" si="54"/>
        <v>32.805963816553664</v>
      </c>
      <c r="K46" s="16">
        <f t="shared" si="54"/>
        <v>28.692868969358752</v>
      </c>
      <c r="L46" s="16">
        <f t="shared" ref="L46" si="55">-L45/L44</f>
        <v>15.871756212384103</v>
      </c>
      <c r="M46" s="16">
        <f>-M45/M44</f>
        <v>66.742966653641631</v>
      </c>
      <c r="N46" s="28"/>
      <c r="O46" s="16">
        <v>18</v>
      </c>
      <c r="P46" s="16">
        <v>17</v>
      </c>
      <c r="Q46" s="16">
        <v>20</v>
      </c>
      <c r="R46" s="16">
        <v>30</v>
      </c>
      <c r="S46" s="16">
        <v>17</v>
      </c>
      <c r="T46" s="16">
        <v>15</v>
      </c>
      <c r="U46" s="16">
        <v>15</v>
      </c>
      <c r="V46" s="16">
        <v>18</v>
      </c>
      <c r="W46" s="16"/>
      <c r="X46" s="16"/>
      <c r="Y46" s="16"/>
      <c r="Z46" s="16"/>
      <c r="AA46" s="28"/>
    </row>
    <row r="47" spans="1:27" x14ac:dyDescent="0.25">
      <c r="N47" s="23"/>
      <c r="AA47" s="23"/>
    </row>
    <row r="48" spans="1:27" x14ac:dyDescent="0.25">
      <c r="N48" s="23"/>
      <c r="AA48" s="23"/>
    </row>
    <row r="49" spans="1:27" x14ac:dyDescent="0.25">
      <c r="A49" s="2" t="s">
        <v>32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20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20"/>
    </row>
    <row r="50" spans="1:27" x14ac:dyDescent="0.25">
      <c r="A50" s="1" t="s">
        <v>32</v>
      </c>
      <c r="B50" s="6">
        <v>46</v>
      </c>
      <c r="C50" s="6">
        <v>47</v>
      </c>
      <c r="D50" s="6">
        <v>50</v>
      </c>
      <c r="E50" s="6">
        <v>52</v>
      </c>
      <c r="F50" s="6">
        <v>51</v>
      </c>
      <c r="G50" s="6">
        <v>49</v>
      </c>
      <c r="H50" s="6">
        <v>50</v>
      </c>
      <c r="I50" s="6">
        <v>48</v>
      </c>
      <c r="J50" s="6">
        <v>51</v>
      </c>
      <c r="K50" s="6">
        <v>55</v>
      </c>
      <c r="L50" s="6">
        <v>52</v>
      </c>
      <c r="M50" s="6">
        <v>50</v>
      </c>
      <c r="N50" s="21">
        <f>M50</f>
        <v>50</v>
      </c>
      <c r="O50" s="6">
        <v>51</v>
      </c>
      <c r="P50" s="6">
        <v>52</v>
      </c>
      <c r="Q50" s="6">
        <v>56</v>
      </c>
      <c r="R50" s="6">
        <v>54</v>
      </c>
      <c r="S50" s="6">
        <v>54</v>
      </c>
      <c r="T50" s="6">
        <v>55</v>
      </c>
      <c r="U50" s="6">
        <v>57</v>
      </c>
      <c r="V50" s="6">
        <v>57</v>
      </c>
      <c r="W50" s="6"/>
      <c r="X50" s="6"/>
      <c r="Y50" s="6"/>
      <c r="Z50" s="6"/>
      <c r="AA50" s="21">
        <f>V50</f>
        <v>57</v>
      </c>
    </row>
    <row r="51" spans="1:27" x14ac:dyDescent="0.25">
      <c r="A51" s="1" t="s">
        <v>33</v>
      </c>
      <c r="B51" s="6">
        <f>B17/B50</f>
        <v>802187.47826086951</v>
      </c>
      <c r="C51" s="6">
        <f t="shared" ref="C51:L51" si="56">C17/C50</f>
        <v>812461.27659574465</v>
      </c>
      <c r="D51" s="6">
        <f t="shared" si="56"/>
        <v>746970</v>
      </c>
      <c r="E51" s="6">
        <f t="shared" si="56"/>
        <v>550719</v>
      </c>
      <c r="F51" s="6">
        <f t="shared" si="56"/>
        <v>571393.4117647059</v>
      </c>
      <c r="G51" s="6">
        <f t="shared" si="56"/>
        <v>472839.91836734692</v>
      </c>
      <c r="H51" s="6">
        <f t="shared" si="56"/>
        <v>421043.28</v>
      </c>
      <c r="I51" s="6">
        <f t="shared" si="56"/>
        <v>452872.5</v>
      </c>
      <c r="J51" s="6">
        <f t="shared" si="56"/>
        <v>377014.35294117645</v>
      </c>
      <c r="K51" s="6">
        <f t="shared" si="56"/>
        <v>366539.12727272726</v>
      </c>
      <c r="L51" s="6">
        <f t="shared" si="56"/>
        <v>395591.53846153844</v>
      </c>
      <c r="M51" s="6">
        <f t="shared" ref="M51:T51" si="57">M17/M50</f>
        <v>433224.48</v>
      </c>
      <c r="N51" s="29">
        <f t="shared" si="57"/>
        <v>433224.48</v>
      </c>
      <c r="O51" s="6">
        <f t="shared" si="57"/>
        <v>490988.23529411765</v>
      </c>
      <c r="P51" s="6">
        <f t="shared" si="57"/>
        <v>422652.69230769231</v>
      </c>
      <c r="Q51" s="6">
        <f t="shared" si="57"/>
        <v>443926.07142857142</v>
      </c>
      <c r="R51" s="6">
        <f t="shared" si="57"/>
        <v>443983.55555555556</v>
      </c>
      <c r="S51" s="6">
        <f t="shared" si="57"/>
        <v>412392.22222222225</v>
      </c>
      <c r="T51" s="6">
        <f t="shared" si="57"/>
        <v>403227.27272727271</v>
      </c>
      <c r="U51" s="6">
        <f>U17/U50</f>
        <v>419019.78947368421</v>
      </c>
      <c r="V51" s="6">
        <f>V17/V50</f>
        <v>344304.63157894736</v>
      </c>
      <c r="W51" s="6"/>
      <c r="X51" s="6"/>
      <c r="Y51" s="6"/>
      <c r="Z51" s="6"/>
      <c r="AA51" s="29">
        <f>AA17/AA50</f>
        <v>344304.63157894736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N9:N45 AA27:AA32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Guerra</dc:creator>
  <cp:lastModifiedBy>Giovana Gio</cp:lastModifiedBy>
  <dcterms:created xsi:type="dcterms:W3CDTF">2025-11-24T13:11:43Z</dcterms:created>
  <dcterms:modified xsi:type="dcterms:W3CDTF">2026-09-15T17:12:54Z</dcterms:modified>
</cp:coreProperties>
</file>